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xr:revisionPtr revIDLastSave="0" documentId="13_ncr:801_{C678C3F3-566D-4A17-AB84-4B2679D2507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 13 08 26 Ni&amp;Au Price Main Page" sheetId="3" r:id="rId1"/>
  </sheets>
  <calcPr calcId="181029"/>
  <oleSize ref="A1:G10"/>
</workbook>
</file>

<file path=xl/sharedStrings.xml><?xml version="1.0" encoding="utf-8"?>
<sst xmlns="http://schemas.openxmlformats.org/spreadsheetml/2006/main" count="158" uniqueCount="90">
  <si>
    <t>Mill recovery</t>
  </si>
  <si>
    <t>Loading and trucking to surface</t>
  </si>
  <si>
    <t>Carting to the mill</t>
  </si>
  <si>
    <t>Milling</t>
  </si>
  <si>
    <t>Length</t>
  </si>
  <si>
    <t>Width</t>
  </si>
  <si>
    <t>SG</t>
  </si>
  <si>
    <t>Nickel</t>
  </si>
  <si>
    <t>Gold</t>
  </si>
  <si>
    <t>Gold price US$/oz and per g</t>
  </si>
  <si>
    <t>Grade g/t:</t>
  </si>
  <si>
    <t>Nickel Mine A Calculation</t>
  </si>
  <si>
    <t>Gold Mine B Calculation</t>
  </si>
  <si>
    <t>Gold credit to Mine B</t>
  </si>
  <si>
    <t>Total $/t:</t>
  </si>
  <si>
    <t>Thickness of floor material, m</t>
  </si>
  <si>
    <t>Gold bars transportation and refinery @ Aus$/oz</t>
  </si>
  <si>
    <t>(Variable costs only)</t>
  </si>
  <si>
    <t>Exchange rate  Aus$/US$</t>
  </si>
  <si>
    <t>Exchange rate Aus$/US$</t>
  </si>
  <si>
    <t>Ausvac Mining Pty Ltd website:</t>
  </si>
  <si>
    <t xml:space="preserve">  never to be recovered by conventional machines </t>
  </si>
  <si>
    <t>Revenue calculations:</t>
  </si>
  <si>
    <r>
      <t>Total vacuumed m</t>
    </r>
    <r>
      <rPr>
        <b/>
        <vertAlign val="superscript"/>
        <sz val="12"/>
        <rFont val="Arial"/>
        <family val="2"/>
      </rPr>
      <t>2</t>
    </r>
    <r>
      <rPr>
        <b/>
        <sz val="12"/>
        <rFont val="Arial"/>
        <family val="2"/>
      </rPr>
      <t xml:space="preserve"> of mine floor</t>
    </r>
  </si>
  <si>
    <r>
      <t>Ni T/floor m</t>
    </r>
    <r>
      <rPr>
        <b/>
        <vertAlign val="superscript"/>
        <sz val="10"/>
        <rFont val="Arial"/>
        <family val="2"/>
      </rPr>
      <t>2</t>
    </r>
  </si>
  <si>
    <t>X Level Ore Drive</t>
  </si>
  <si>
    <t>Y Level Ore Drive</t>
  </si>
  <si>
    <r>
      <t>Au Oz/m</t>
    </r>
    <r>
      <rPr>
        <b/>
        <vertAlign val="superscript"/>
        <sz val="10"/>
        <rFont val="Arial"/>
        <family val="2"/>
      </rPr>
      <t>2</t>
    </r>
  </si>
  <si>
    <r>
      <t>Aus$/m</t>
    </r>
    <r>
      <rPr>
        <b/>
        <vertAlign val="superscript"/>
        <sz val="10"/>
        <rFont val="Arial"/>
        <family val="2"/>
      </rPr>
      <t>2</t>
    </r>
  </si>
  <si>
    <t xml:space="preserve">Western Australia State Gold Revenue  </t>
  </si>
  <si>
    <t>Total Oz</t>
  </si>
  <si>
    <t>Value in Aus$</t>
  </si>
  <si>
    <t xml:space="preserve">Total Ni Ore Tonnes vacuumed </t>
  </si>
  <si>
    <t xml:space="preserve">Tot Ni T </t>
  </si>
  <si>
    <t>Ni Ore grade %:</t>
  </si>
  <si>
    <t>Ni Ore Grade %:</t>
  </si>
  <si>
    <t>Total Aus$/t:</t>
  </si>
  <si>
    <t>Ni credit to Mine A by Roaster/Refinery</t>
  </si>
  <si>
    <t xml:space="preserve">* Toll Ni Concentrate roasting/refining </t>
  </si>
  <si>
    <t xml:space="preserve">* Additional revenue from by-product metals and silver not included </t>
  </si>
  <si>
    <t xml:space="preserve"> </t>
  </si>
  <si>
    <t>* Vacuuming Costs calculated at 2,074 t/month productivity with two-shifts vacuuming at 85% equipment/working places availabilty</t>
  </si>
  <si>
    <t xml:space="preserve">  (with only 85 % equipment and workplaces availability)</t>
  </si>
  <si>
    <r>
      <t xml:space="preserve">   the grades of vacuumed nuggety-type ore are </t>
    </r>
    <r>
      <rPr>
        <b/>
        <u/>
        <sz val="14"/>
        <color rgb="FFFF0000"/>
        <rFont val="Arial"/>
        <family val="2"/>
      </rPr>
      <t>much higher than</t>
    </r>
    <r>
      <rPr>
        <b/>
        <sz val="14"/>
        <rFont val="Arial"/>
        <family val="2"/>
      </rPr>
      <t xml:space="preserve"> those vacuumed from freshly excavated ore drives/in-stope excavations</t>
    </r>
  </si>
  <si>
    <t>Ausvac Mining PL Vacuuming Costs @ 2,074 t/month recovery rate</t>
  </si>
  <si>
    <t>* Vacuuming Costs calculated at 1,216 t/month productivity with one-shift vacuuming at 85% equipment/working places availabilty</t>
  </si>
  <si>
    <t xml:space="preserve">        * 30.5 x 2 x 40 x 0.85 = 2,074 tonnes/month on 12hrs/shift continuous mining roster; 40t/shift productivity with two (2) Operators</t>
  </si>
  <si>
    <t xml:space="preserve">        * 30.5 x 1 x 40 x 0.85 = 1,216 tonnes/month on 12hrs/shift continuous mining roster; 40t/shift productivity with two (2) Operators</t>
  </si>
  <si>
    <r>
      <rPr>
        <b/>
        <sz val="12"/>
        <rFont val="Arial"/>
        <family val="2"/>
      </rPr>
      <t>Ni Ore grade %, Ni T wasted/left behind &amp; Ni T/m</t>
    </r>
    <r>
      <rPr>
        <b/>
        <vertAlign val="superscript"/>
        <sz val="12"/>
        <rFont val="Arial"/>
        <family val="2"/>
      </rPr>
      <t>2</t>
    </r>
    <r>
      <rPr>
        <b/>
        <sz val="12"/>
        <rFont val="Arial"/>
        <family val="2"/>
      </rPr>
      <t xml:space="preserve"> of mine floor</t>
    </r>
  </si>
  <si>
    <r>
      <t>Y Level Ni Ore T &amp; Ore T/m</t>
    </r>
    <r>
      <rPr>
        <b/>
        <vertAlign val="superscript"/>
        <sz val="12"/>
        <rFont val="Arial"/>
        <family val="2"/>
      </rPr>
      <t>2</t>
    </r>
    <r>
      <rPr>
        <b/>
        <sz val="12"/>
        <rFont val="Arial"/>
        <family val="2"/>
      </rPr>
      <t xml:space="preserve"> of mine floor</t>
    </r>
  </si>
  <si>
    <r>
      <t>X Level Ni Ore T &amp; Ore T/m</t>
    </r>
    <r>
      <rPr>
        <b/>
        <vertAlign val="superscript"/>
        <sz val="12"/>
        <rFont val="Arial"/>
        <family val="2"/>
      </rPr>
      <t>2</t>
    </r>
    <r>
      <rPr>
        <b/>
        <sz val="12"/>
        <rFont val="Arial"/>
        <family val="2"/>
      </rPr>
      <t xml:space="preserve"> of mine floor</t>
    </r>
  </si>
  <si>
    <t>Vacuumed of Wasted Nickel Tonnes calculations:</t>
  </si>
  <si>
    <t>Sub-tot:</t>
  </si>
  <si>
    <t>Milling/Roasting/Refining</t>
  </si>
  <si>
    <t>Ausvac Mining PL Vacuuming Costs @ 1,216 t/month recovery rate</t>
  </si>
  <si>
    <t>(1-2 Shifts Vacuuming respectively)</t>
  </si>
  <si>
    <r>
      <rPr>
        <b/>
        <u/>
        <sz val="16"/>
        <color rgb="FFFF0000"/>
        <rFont val="Arial"/>
        <family val="2"/>
      </rPr>
      <t>Wasted Ni T in Aus$</t>
    </r>
    <r>
      <rPr>
        <b/>
        <sz val="16"/>
        <color rgb="FFFF0000"/>
        <rFont val="Arial"/>
        <family val="2"/>
      </rPr>
      <t xml:space="preserve"> </t>
    </r>
    <r>
      <rPr>
        <b/>
        <i/>
        <sz val="16"/>
        <color theme="1"/>
        <rFont val="Arial"/>
        <family val="2"/>
      </rPr>
      <t>(after Mine A costs deduction - vacuuming included)</t>
    </r>
  </si>
  <si>
    <r>
      <rPr>
        <b/>
        <u/>
        <sz val="14"/>
        <color rgb="FF00B050"/>
        <rFont val="Arial"/>
        <family val="2"/>
      </rPr>
      <t>Value of: Ni T in Aus$ &amp; Aus$/m</t>
    </r>
    <r>
      <rPr>
        <b/>
        <u/>
        <vertAlign val="superscript"/>
        <sz val="14"/>
        <color rgb="FF00B050"/>
        <rFont val="Arial"/>
        <family val="2"/>
      </rPr>
      <t>2</t>
    </r>
    <r>
      <rPr>
        <b/>
        <sz val="14"/>
        <color theme="1"/>
        <rFont val="Arial"/>
        <family val="2"/>
      </rPr>
      <t xml:space="preserve"> </t>
    </r>
    <r>
      <rPr>
        <b/>
        <u/>
        <sz val="14"/>
        <color rgb="FFFF0000"/>
        <rFont val="Arial"/>
        <family val="2"/>
      </rPr>
      <t>left behind/wasted</t>
    </r>
    <r>
      <rPr>
        <b/>
        <sz val="14"/>
        <color theme="1"/>
        <rFont val="Arial"/>
        <family val="2"/>
      </rPr>
      <t xml:space="preserve"> on mine floors</t>
    </r>
  </si>
  <si>
    <t>(1-Shift Vacuuming on continuous roster)</t>
  </si>
  <si>
    <t>(2-Shifts Vacuuming on continuous roster)</t>
  </si>
  <si>
    <r>
      <t>Gold Ore grade/ounces with Mine B 100% Credit &amp; Au Oz/m</t>
    </r>
    <r>
      <rPr>
        <b/>
        <vertAlign val="superscript"/>
        <sz val="12"/>
        <rFont val="Arial"/>
        <family val="2"/>
      </rPr>
      <t xml:space="preserve">2 </t>
    </r>
    <r>
      <rPr>
        <b/>
        <u/>
        <sz val="12"/>
        <color rgb="FFFF0000"/>
        <rFont val="Arial"/>
        <family val="2"/>
      </rPr>
      <t>left behind/wasted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rFont val="Arial"/>
        <family val="2"/>
      </rPr>
      <t>on mine floors</t>
    </r>
  </si>
  <si>
    <r>
      <rPr>
        <b/>
        <u/>
        <sz val="12"/>
        <color rgb="FFFF0000"/>
        <rFont val="Arial"/>
        <family val="2"/>
      </rPr>
      <t>Value of: Gold ounces</t>
    </r>
    <r>
      <rPr>
        <b/>
        <sz val="12"/>
        <color rgb="FF00B050"/>
        <rFont val="Arial"/>
        <family val="2"/>
      </rPr>
      <t xml:space="preserve"> in Aus$ and Aus$/m</t>
    </r>
    <r>
      <rPr>
        <b/>
        <vertAlign val="superscript"/>
        <sz val="12"/>
        <color rgb="FF00B050"/>
        <rFont val="Arial"/>
        <family val="2"/>
      </rPr>
      <t>2</t>
    </r>
    <r>
      <rPr>
        <b/>
        <sz val="12"/>
        <color rgb="FF00B050"/>
        <rFont val="Arial"/>
        <family val="2"/>
      </rPr>
      <t xml:space="preserve"> </t>
    </r>
    <r>
      <rPr>
        <b/>
        <u/>
        <sz val="12"/>
        <color rgb="FFFF0000"/>
        <rFont val="Arial"/>
        <family val="2"/>
      </rPr>
      <t>left behind/wasted</t>
    </r>
    <r>
      <rPr>
        <b/>
        <sz val="12"/>
        <color rgb="FF00B050"/>
        <rFont val="Arial"/>
        <family val="2"/>
      </rPr>
      <t xml:space="preserve"> on mine floors</t>
    </r>
    <r>
      <rPr>
        <b/>
        <vertAlign val="superscript"/>
        <sz val="12"/>
        <color rgb="FF00B050"/>
        <rFont val="Arial"/>
        <family val="2"/>
      </rPr>
      <t xml:space="preserve">  </t>
    </r>
  </si>
  <si>
    <r>
      <rPr>
        <b/>
        <u/>
        <sz val="12"/>
        <color rgb="FFFF0000"/>
        <rFont val="Arial"/>
        <family val="2"/>
      </rPr>
      <t xml:space="preserve">Wasted Gold Ounces left behind on mine floors </t>
    </r>
    <r>
      <rPr>
        <b/>
        <sz val="12"/>
        <color theme="1"/>
        <rFont val="Arial"/>
        <family val="2"/>
      </rPr>
      <t xml:space="preserve">in Aus$ at Mine B with all costs deducted </t>
    </r>
    <r>
      <rPr>
        <b/>
        <i/>
        <sz val="12"/>
        <color theme="1"/>
        <rFont val="Arial"/>
        <family val="2"/>
      </rPr>
      <t xml:space="preserve">(vacuuming included) </t>
    </r>
    <r>
      <rPr>
        <b/>
        <sz val="12"/>
        <color theme="1"/>
        <rFont val="Arial"/>
        <family val="2"/>
      </rPr>
      <t>&amp; State gold revenue charges and gold refining costs</t>
    </r>
  </si>
  <si>
    <t xml:space="preserve">    * Refer to 40.02 g/t of Au vacuum floor sampling conducted hands-on by Kris Biegaj in a new in-stope decline    </t>
  </si>
  <si>
    <t>* Due to "milling" action of conventional LHDs and scrapers on mine floors, water and gravity force,</t>
  </si>
  <si>
    <t xml:space="preserve">        * Further additional 21 % tonnes shown/used in this table can be vacuumed per month</t>
  </si>
  <si>
    <t>Vacuuming Costs Calculations on Page 15 LHS</t>
  </si>
  <si>
    <t>Mine A costs Aus$/metric T:</t>
  </si>
  <si>
    <r>
      <t xml:space="preserve">Y Level Au Ore mT </t>
    </r>
    <r>
      <rPr>
        <b/>
        <sz val="12"/>
        <color rgb="FF00B050"/>
        <rFont val="Arial"/>
        <family val="2"/>
      </rPr>
      <t>&amp;</t>
    </r>
    <r>
      <rPr>
        <b/>
        <sz val="12"/>
        <rFont val="Arial"/>
        <family val="2"/>
        <charset val="204"/>
      </rPr>
      <t xml:space="preserve"> m</t>
    </r>
    <r>
      <rPr>
        <b/>
        <sz val="12"/>
        <color rgb="FF00B050"/>
        <rFont val="Arial"/>
        <family val="2"/>
      </rPr>
      <t>T/m</t>
    </r>
    <r>
      <rPr>
        <b/>
        <vertAlign val="superscript"/>
        <sz val="12"/>
        <color rgb="FF00B050"/>
        <rFont val="Arial"/>
        <family val="2"/>
      </rPr>
      <t>2</t>
    </r>
    <r>
      <rPr>
        <b/>
        <sz val="12"/>
        <color rgb="FF00B050"/>
        <rFont val="Arial"/>
        <family val="2"/>
      </rPr>
      <t xml:space="preserve"> of mine floor</t>
    </r>
  </si>
  <si>
    <t>Ausvac Mining PL Vacuuming Costs @ 1,216 mT/2,074 mT month recovery rate respectively</t>
  </si>
  <si>
    <r>
      <t>X Level Au ore mT &amp; m</t>
    </r>
    <r>
      <rPr>
        <b/>
        <sz val="12"/>
        <color rgb="FF00B050"/>
        <rFont val="Arial"/>
        <family val="2"/>
      </rPr>
      <t>T/m</t>
    </r>
    <r>
      <rPr>
        <b/>
        <vertAlign val="superscript"/>
        <sz val="12"/>
        <color rgb="FF00B050"/>
        <rFont val="Arial"/>
        <family val="2"/>
      </rPr>
      <t>2</t>
    </r>
    <r>
      <rPr>
        <b/>
        <sz val="12"/>
        <color rgb="FF00B050"/>
        <rFont val="Arial"/>
        <family val="2"/>
      </rPr>
      <t xml:space="preserve"> of mine floor</t>
    </r>
  </si>
  <si>
    <t>* Vacuuming Costs calculated at 1,216 mT/2,074 mT/month with One/Two Shifts respectively on continuous roster @ 85% equipment/working places availabilty</t>
  </si>
  <si>
    <r>
      <t xml:space="preserve">* Ausvac Mining P/L can now vacuum/recover 40 mT/shift with two </t>
    </r>
    <r>
      <rPr>
        <b/>
        <i/>
        <sz val="14"/>
        <rFont val="Arial"/>
        <family val="2"/>
      </rPr>
      <t>(2)</t>
    </r>
    <r>
      <rPr>
        <b/>
        <sz val="14"/>
        <rFont val="Arial"/>
        <family val="2"/>
      </rPr>
      <t xml:space="preserve"> Operators </t>
    </r>
  </si>
  <si>
    <r>
      <t xml:space="preserve">  from underground mine floors or </t>
    </r>
    <r>
      <rPr>
        <b/>
        <u/>
        <sz val="14"/>
        <rFont val="Arial"/>
        <family val="2"/>
      </rPr>
      <t>80 mT/day with 2,074 mT/month on two-shifts arrangement on a continuous roster</t>
    </r>
  </si>
  <si>
    <r>
      <t>* It is common that ~0.5 m</t>
    </r>
    <r>
      <rPr>
        <b/>
        <vertAlign val="superscript"/>
        <sz val="14"/>
        <rFont val="Arial"/>
        <family val="2"/>
      </rPr>
      <t>+</t>
    </r>
    <r>
      <rPr>
        <b/>
        <sz val="14"/>
        <rFont val="Arial"/>
        <family val="2"/>
      </rPr>
      <t xml:space="preserve"> thick of already broken ore is left behind on ore drives floors  </t>
    </r>
  </si>
  <si>
    <r>
      <t xml:space="preserve">Vacuuming Costs Calculations on Page </t>
    </r>
    <r>
      <rPr>
        <b/>
        <sz val="10"/>
        <color rgb="FFFF0000"/>
        <rFont val="Arial"/>
        <family val="2"/>
      </rPr>
      <t>15</t>
    </r>
    <r>
      <rPr>
        <b/>
        <sz val="10"/>
        <rFont val="Arial"/>
        <family val="2"/>
      </rPr>
      <t xml:space="preserve"> RHS</t>
    </r>
  </si>
  <si>
    <t xml:space="preserve">Total vacuumed Au Ore mTonnes </t>
  </si>
  <si>
    <r>
      <t xml:space="preserve">*8.6% </t>
    </r>
    <r>
      <rPr>
        <b/>
        <vertAlign val="superscript"/>
        <sz val="14"/>
        <color rgb="FFFF0000"/>
        <rFont val="Arial"/>
        <family val="2"/>
      </rPr>
      <t xml:space="preserve">+ </t>
    </r>
    <r>
      <rPr>
        <b/>
        <sz val="14"/>
        <color rgb="FFFF0000"/>
        <rFont val="Arial"/>
        <family val="2"/>
      </rPr>
      <t>Nickel ore vacuumed in stopes and ore drives in 2003</t>
    </r>
    <r>
      <rPr>
        <b/>
        <vertAlign val="superscript"/>
        <sz val="14"/>
        <color rgb="FFFF0000"/>
        <rFont val="Arial"/>
        <family val="2"/>
      </rPr>
      <t>+</t>
    </r>
    <r>
      <rPr>
        <b/>
        <sz val="14"/>
        <color rgb="FFFF0000"/>
        <rFont val="Arial"/>
        <family val="2"/>
      </rPr>
      <t xml:space="preserve"> in Western Australia </t>
    </r>
    <r>
      <rPr>
        <b/>
        <i/>
        <sz val="14"/>
        <color rgb="FFFF0000"/>
        <rFont val="Arial"/>
        <family val="2"/>
      </rPr>
      <t xml:space="preserve">(WA) </t>
    </r>
    <r>
      <rPr>
        <b/>
        <sz val="14"/>
        <color rgb="FFFF0000"/>
        <rFont val="Arial"/>
        <family val="2"/>
      </rPr>
      <t>by Ausvac Mining PL</t>
    </r>
  </si>
  <si>
    <r>
      <t>*Up to 0.5 m</t>
    </r>
    <r>
      <rPr>
        <vertAlign val="superscript"/>
        <sz val="14"/>
        <color theme="4"/>
        <rFont val="Arial"/>
        <family val="2"/>
      </rPr>
      <t>+</t>
    </r>
    <r>
      <rPr>
        <b/>
        <vertAlign val="superscript"/>
        <sz val="14"/>
        <color theme="4"/>
        <rFont val="Arial"/>
        <family val="2"/>
      </rPr>
      <t xml:space="preserve"> </t>
    </r>
    <r>
      <rPr>
        <b/>
        <sz val="14"/>
        <color theme="4"/>
        <rFont val="Arial"/>
        <family val="2"/>
      </rPr>
      <t>average thick mine floor material left behind/vacuumed on nickel mines in WA in 2003</t>
    </r>
    <r>
      <rPr>
        <b/>
        <vertAlign val="superscript"/>
        <sz val="14"/>
        <color theme="4"/>
        <rFont val="Arial"/>
        <family val="2"/>
      </rPr>
      <t>+</t>
    </r>
    <r>
      <rPr>
        <b/>
        <sz val="14"/>
        <color theme="4"/>
        <rFont val="Arial"/>
        <family val="2"/>
      </rPr>
      <t xml:space="preserve"> by Ausvac Mining PL</t>
    </r>
  </si>
  <si>
    <t>Mine B costs Aus$/metric Tonnes used in that table:</t>
  </si>
  <si>
    <r>
      <t xml:space="preserve">      in April 2001 - Page 16 with Apps 12 &amp; 12A - hence low "milling"/grade enchancement </t>
    </r>
    <r>
      <rPr>
        <b/>
        <u/>
        <sz val="12"/>
        <rFont val="Arial"/>
        <family val="2"/>
      </rPr>
      <t>in the newly excavated in-stope decline)</t>
    </r>
  </si>
  <si>
    <t xml:space="preserve">           * Refer to Ausvac Mining PL Vacuuming Costs details on Page 14</t>
  </si>
  <si>
    <r>
      <t>* Much higher grades were sampled on stopes' and drives' floors in 2010/11</t>
    </r>
    <r>
      <rPr>
        <sz val="12"/>
        <rFont val="Arial"/>
        <family val="2"/>
      </rPr>
      <t xml:space="preserve"> </t>
    </r>
    <r>
      <rPr>
        <b/>
        <i/>
        <sz val="12"/>
        <rFont val="Arial"/>
        <family val="2"/>
      </rPr>
      <t>(i.e. &gt; 40 g/t)</t>
    </r>
  </si>
  <si>
    <t xml:space="preserve">           * Refer to Ausvac Mining PL Vacuuming Costs details on Page 14 RHS</t>
  </si>
  <si>
    <r>
      <t xml:space="preserve">           * Refer to Ausvac Mining PL Vacuuming Costs details on Page </t>
    </r>
    <r>
      <rPr>
        <b/>
        <sz val="10"/>
        <color theme="1"/>
        <rFont val="Arial"/>
        <family val="2"/>
      </rPr>
      <t xml:space="preserve">14 </t>
    </r>
    <r>
      <rPr>
        <b/>
        <sz val="10"/>
        <rFont val="Arial"/>
        <family val="2"/>
      </rPr>
      <t>- RHS</t>
    </r>
  </si>
  <si>
    <t>Nickel price US$/metric T used in this table</t>
  </si>
  <si>
    <r>
      <rPr>
        <b/>
        <sz val="40"/>
        <color rgb="FFFF0000"/>
        <rFont val="Arial"/>
        <family val="2"/>
      </rPr>
      <t>Wasted</t>
    </r>
    <r>
      <rPr>
        <b/>
        <sz val="40"/>
        <color rgb="FF0070C0"/>
        <rFont val="Arial"/>
        <family val="2"/>
      </rPr>
      <t xml:space="preserve"> Nickel</t>
    </r>
    <r>
      <rPr>
        <b/>
        <sz val="40"/>
        <color rgb="FF00B050"/>
        <rFont val="Arial"/>
        <family val="2"/>
      </rPr>
      <t xml:space="preserve"> &amp; </t>
    </r>
    <r>
      <rPr>
        <b/>
        <sz val="40"/>
        <color rgb="FFFFFF00"/>
        <rFont val="Arial"/>
        <family val="2"/>
      </rPr>
      <t>Gold</t>
    </r>
    <r>
      <rPr>
        <b/>
        <sz val="40"/>
        <color rgb="FF00B050"/>
        <rFont val="Arial"/>
        <family val="2"/>
      </rPr>
      <t xml:space="preserve"> </t>
    </r>
    <r>
      <rPr>
        <b/>
        <sz val="40"/>
        <color theme="1"/>
        <rFont val="Arial"/>
        <family val="2"/>
      </rPr>
      <t xml:space="preserve">currently left behind on mine floors Globally - Worth Billions of Dollars </t>
    </r>
    <r>
      <rPr>
        <b/>
        <vertAlign val="superscript"/>
        <sz val="40"/>
        <color theme="1"/>
        <rFont val="Arial"/>
        <family val="2"/>
      </rPr>
      <t xml:space="preserve">++++ </t>
    </r>
  </si>
  <si>
    <t xml:space="preserve">* Additional Extra revenue from by-products: silver, copper &amp; other metals not included </t>
  </si>
  <si>
    <t xml:space="preserve">g/troy ounce </t>
  </si>
  <si>
    <t>13 08 2026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</si>
</sst>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* #,##0.00_р_._-;\-* #,##0.00_р_._-;_-* &quot;-&quot;??_р_._-;_-@_-"/>
    <numFmt numFmtId="165" formatCode="_-* #,##0.0_р_._-;\-* #,##0.0_р_._-;_-* &quot;-&quot;??_р_._-;_-@_-"/>
    <numFmt numFmtId="166" formatCode="_-* #,##0_р_._-;\-* #,##0_р_._-;_-* &quot;-&quot;??_р_._-;_-@_-"/>
    <numFmt numFmtId="167" formatCode="0.0"/>
    <numFmt numFmtId="168" formatCode="0.0%"/>
    <numFmt numFmtId="169" formatCode="#,##0.00_ ;\-#,##0.00\ "/>
    <numFmt numFmtId="170" formatCode="#,##0_ ;\-#,##0\ "/>
    <numFmt numFmtId="171" formatCode="0.000"/>
    <numFmt numFmtId="172" formatCode="#,##0.0_ ;\-#,##0.0\ "/>
  </numFmts>
  <fonts count="76" x14ac:knownFonts="1">
    <font>
      <sz val="10"/>
      <name val="Arial"/>
      <charset val="204"/>
    </font>
    <font>
      <sz val="10"/>
      <name val="Arial"/>
      <family val="2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b/>
      <i/>
      <sz val="10"/>
      <name val="Arial"/>
      <family val="2"/>
      <charset val="204"/>
    </font>
    <font>
      <b/>
      <sz val="14"/>
      <name val="Arial"/>
      <family val="2"/>
      <charset val="204"/>
    </font>
    <font>
      <sz val="1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  <charset val="204"/>
    </font>
    <font>
      <b/>
      <sz val="12"/>
      <color rgb="FFFF0000"/>
      <name val="Arial"/>
      <family val="2"/>
    </font>
    <font>
      <b/>
      <sz val="12"/>
      <color rgb="FFFF0000"/>
      <name val="Arial"/>
      <family val="2"/>
      <charset val="204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4"/>
      <color rgb="FFFF0000"/>
      <name val="Arial"/>
      <family val="2"/>
    </font>
    <font>
      <sz val="12"/>
      <name val="Arial"/>
      <family val="2"/>
    </font>
    <font>
      <b/>
      <i/>
      <sz val="10"/>
      <name val="Arial"/>
      <family val="2"/>
    </font>
    <font>
      <b/>
      <sz val="10"/>
      <color theme="3"/>
      <name val="Arial"/>
      <family val="2"/>
    </font>
    <font>
      <b/>
      <sz val="12"/>
      <color theme="3"/>
      <name val="Arial"/>
      <family val="2"/>
    </font>
    <font>
      <b/>
      <sz val="10"/>
      <color rgb="FF0070C0"/>
      <name val="Arial"/>
      <family val="2"/>
    </font>
    <font>
      <u/>
      <sz val="10"/>
      <color theme="10"/>
      <name val="Arial"/>
      <family val="2"/>
    </font>
    <font>
      <b/>
      <sz val="20"/>
      <name val="Arial"/>
      <family val="2"/>
      <charset val="204"/>
    </font>
    <font>
      <b/>
      <sz val="14"/>
      <name val="Arial"/>
      <family val="2"/>
    </font>
    <font>
      <b/>
      <sz val="24"/>
      <name val="Arial"/>
      <family val="2"/>
    </font>
    <font>
      <b/>
      <sz val="14"/>
      <color rgb="FF0070C0"/>
      <name val="Arial"/>
      <family val="2"/>
    </font>
    <font>
      <b/>
      <u/>
      <sz val="14"/>
      <color rgb="FFFF0000"/>
      <name val="Arial"/>
      <family val="2"/>
    </font>
    <font>
      <b/>
      <sz val="10"/>
      <name val="Arial"/>
      <family val="2"/>
    </font>
    <font>
      <b/>
      <i/>
      <sz val="14"/>
      <color rgb="FFFF0000"/>
      <name val="Arial"/>
      <family val="2"/>
    </font>
    <font>
      <sz val="8"/>
      <name val="Arial"/>
      <family val="2"/>
    </font>
    <font>
      <b/>
      <vertAlign val="superscript"/>
      <sz val="10"/>
      <name val="Arial"/>
      <family val="2"/>
    </font>
    <font>
      <b/>
      <vertAlign val="superscript"/>
      <sz val="12"/>
      <name val="Arial"/>
      <family val="2"/>
    </font>
    <font>
      <b/>
      <sz val="12"/>
      <color rgb="FF00B050"/>
      <name val="Arial"/>
      <family val="2"/>
    </font>
    <font>
      <b/>
      <vertAlign val="superscript"/>
      <sz val="12"/>
      <color rgb="FF00B050"/>
      <name val="Arial"/>
      <family val="2"/>
    </font>
    <font>
      <b/>
      <sz val="16"/>
      <name val="Arial"/>
      <family val="2"/>
      <charset val="204"/>
    </font>
    <font>
      <b/>
      <sz val="16"/>
      <color theme="3"/>
      <name val="Arial"/>
      <family val="2"/>
    </font>
    <font>
      <b/>
      <u/>
      <sz val="16"/>
      <name val="Arial"/>
      <family val="2"/>
      <charset val="204"/>
    </font>
    <font>
      <b/>
      <u/>
      <sz val="16"/>
      <color rgb="FFFF0000"/>
      <name val="Arial"/>
      <family val="2"/>
    </font>
    <font>
      <b/>
      <u/>
      <sz val="12"/>
      <color rgb="FF0070C0"/>
      <name val="Arial"/>
      <family val="2"/>
      <charset val="204"/>
    </font>
    <font>
      <b/>
      <i/>
      <sz val="12"/>
      <color rgb="FF0070C0"/>
      <name val="Arial"/>
      <family val="2"/>
      <charset val="204"/>
    </font>
    <font>
      <b/>
      <sz val="12"/>
      <color theme="1"/>
      <name val="Arial"/>
      <family val="2"/>
    </font>
    <font>
      <b/>
      <u/>
      <sz val="12"/>
      <color theme="4"/>
      <name val="Arial"/>
      <family val="2"/>
      <charset val="204"/>
    </font>
    <font>
      <b/>
      <i/>
      <sz val="12"/>
      <color theme="4"/>
      <name val="Arial"/>
      <family val="2"/>
    </font>
    <font>
      <sz val="10"/>
      <color theme="4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4"/>
      <name val="Arial"/>
      <family val="2"/>
    </font>
    <font>
      <b/>
      <sz val="14"/>
      <color theme="4"/>
      <name val="Arial"/>
      <family val="2"/>
    </font>
    <font>
      <b/>
      <u/>
      <sz val="12"/>
      <name val="Arial"/>
      <family val="2"/>
    </font>
    <font>
      <b/>
      <sz val="16"/>
      <color rgb="FFFF0000"/>
      <name val="Arial"/>
      <family val="2"/>
    </font>
    <font>
      <b/>
      <sz val="12"/>
      <color rgb="FF0070C0"/>
      <name val="Arial"/>
      <family val="2"/>
    </font>
    <font>
      <b/>
      <sz val="14"/>
      <color rgb="FF7030A0"/>
      <name val="Arial"/>
      <family val="2"/>
    </font>
    <font>
      <b/>
      <sz val="40"/>
      <color rgb="FF00B050"/>
      <name val="Arial"/>
      <family val="2"/>
    </font>
    <font>
      <b/>
      <u/>
      <sz val="14"/>
      <color rgb="FF0070C0"/>
      <name val="Arial"/>
      <family val="2"/>
    </font>
    <font>
      <sz val="10"/>
      <color rgb="FF0070C0"/>
      <name val="Arial"/>
      <family val="2"/>
    </font>
    <font>
      <b/>
      <u/>
      <sz val="12"/>
      <color rgb="FFFF0000"/>
      <name val="Arial"/>
      <family val="2"/>
    </font>
    <font>
      <b/>
      <sz val="40"/>
      <color rgb="FF0070C0"/>
      <name val="Arial"/>
      <family val="2"/>
    </font>
    <font>
      <b/>
      <sz val="40"/>
      <color rgb="FFFFFF00"/>
      <name val="Arial"/>
      <family val="2"/>
    </font>
    <font>
      <b/>
      <sz val="40"/>
      <color theme="1"/>
      <name val="Arial"/>
      <family val="2"/>
    </font>
    <font>
      <b/>
      <sz val="20"/>
      <color rgb="FF0070C0"/>
      <name val="Arial"/>
      <family val="2"/>
    </font>
    <font>
      <b/>
      <vertAlign val="superscript"/>
      <sz val="40"/>
      <color theme="1"/>
      <name val="Arial"/>
      <family val="2"/>
    </font>
    <font>
      <b/>
      <sz val="40"/>
      <color rgb="FFFF0000"/>
      <name val="Arial"/>
      <family val="2"/>
    </font>
    <font>
      <b/>
      <i/>
      <sz val="10"/>
      <color theme="1"/>
      <name val="Arial"/>
      <family val="2"/>
    </font>
    <font>
      <b/>
      <sz val="14"/>
      <color theme="1"/>
      <name val="Arial"/>
      <family val="2"/>
    </font>
    <font>
      <b/>
      <i/>
      <sz val="16"/>
      <color theme="1"/>
      <name val="Arial"/>
      <family val="2"/>
    </font>
    <font>
      <b/>
      <u/>
      <sz val="14"/>
      <color rgb="FF00B050"/>
      <name val="Arial"/>
      <family val="2"/>
    </font>
    <font>
      <b/>
      <u/>
      <vertAlign val="superscript"/>
      <sz val="14"/>
      <color rgb="FF00B050"/>
      <name val="Arial"/>
      <family val="2"/>
    </font>
    <font>
      <b/>
      <i/>
      <sz val="12"/>
      <color theme="1"/>
      <name val="Arial"/>
      <family val="2"/>
    </font>
    <font>
      <b/>
      <sz val="10"/>
      <color theme="1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i/>
      <sz val="14"/>
      <name val="Arial"/>
      <family val="2"/>
    </font>
    <font>
      <b/>
      <i/>
      <sz val="22"/>
      <color rgb="FFFF0000"/>
      <name val="Arial"/>
      <family val="2"/>
    </font>
    <font>
      <b/>
      <vertAlign val="superscript"/>
      <sz val="14"/>
      <color theme="4"/>
      <name val="Arial"/>
      <family val="2"/>
    </font>
    <font>
      <vertAlign val="superscript"/>
      <sz val="14"/>
      <color theme="4"/>
      <name val="Arial"/>
      <family val="2"/>
    </font>
    <font>
      <b/>
      <vertAlign val="superscript"/>
      <sz val="14"/>
      <name val="Arial"/>
      <family val="2"/>
    </font>
    <font>
      <b/>
      <vertAlign val="superscript"/>
      <sz val="14"/>
      <color rgb="FFFF0000"/>
      <name val="Arial"/>
      <family val="2"/>
    </font>
    <font>
      <b/>
      <i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66CC"/>
        <bgColor indexed="64"/>
      </patternFill>
    </fill>
  </fills>
  <borders count="85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ck">
        <color indexed="64"/>
      </left>
      <right/>
      <top/>
      <bottom style="thin">
        <color auto="1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307">
    <xf numFmtId="0" fontId="0" fillId="0" borderId="0" xfId="0"/>
    <xf numFmtId="0" fontId="3" fillId="0" borderId="0" xfId="0" applyFont="1"/>
    <xf numFmtId="166" fontId="0" fillId="0" borderId="0" xfId="1" applyNumberFormat="1" applyFont="1"/>
    <xf numFmtId="0" fontId="0" fillId="2" borderId="0" xfId="0" applyFill="1"/>
    <xf numFmtId="0" fontId="4" fillId="2" borderId="0" xfId="0" applyFont="1" applyFill="1"/>
    <xf numFmtId="9" fontId="0" fillId="0" borderId="0" xfId="0" applyNumberFormat="1"/>
    <xf numFmtId="167" fontId="0" fillId="0" borderId="0" xfId="0" applyNumberFormat="1"/>
    <xf numFmtId="16" fontId="0" fillId="0" borderId="0" xfId="0" applyNumberFormat="1"/>
    <xf numFmtId="167" fontId="3" fillId="0" borderId="0" xfId="0" applyNumberFormat="1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8" xfId="0" applyBorder="1"/>
    <xf numFmtId="43" fontId="3" fillId="0" borderId="3" xfId="0" applyNumberFormat="1" applyFont="1" applyBorder="1"/>
    <xf numFmtId="0" fontId="6" fillId="0" borderId="0" xfId="0" applyFont="1"/>
    <xf numFmtId="0" fontId="7" fillId="0" borderId="2" xfId="0" applyFont="1" applyBorder="1"/>
    <xf numFmtId="0" fontId="3" fillId="0" borderId="9" xfId="0" applyFont="1" applyBorder="1"/>
    <xf numFmtId="0" fontId="5" fillId="0" borderId="5" xfId="0" applyFont="1" applyBorder="1"/>
    <xf numFmtId="0" fontId="8" fillId="0" borderId="0" xfId="0" applyFont="1"/>
    <xf numFmtId="0" fontId="8" fillId="0" borderId="2" xfId="0" applyFont="1" applyBorder="1"/>
    <xf numFmtId="166" fontId="0" fillId="0" borderId="0" xfId="1" applyNumberFormat="1" applyFont="1" applyBorder="1" applyAlignment="1">
      <alignment horizontal="left" indent="1"/>
    </xf>
    <xf numFmtId="166" fontId="0" fillId="0" borderId="3" xfId="1" applyNumberFormat="1" applyFont="1" applyBorder="1" applyAlignment="1">
      <alignment horizontal="left" indent="1"/>
    </xf>
    <xf numFmtId="0" fontId="0" fillId="0" borderId="11" xfId="0" applyBorder="1"/>
    <xf numFmtId="167" fontId="0" fillId="0" borderId="11" xfId="0" applyNumberFormat="1" applyBorder="1"/>
    <xf numFmtId="166" fontId="3" fillId="0" borderId="3" xfId="1" applyNumberFormat="1" applyFont="1" applyBorder="1"/>
    <xf numFmtId="169" fontId="10" fillId="0" borderId="0" xfId="1" applyNumberFormat="1" applyFont="1" applyBorder="1" applyAlignment="1">
      <alignment horizontal="left"/>
    </xf>
    <xf numFmtId="0" fontId="12" fillId="0" borderId="3" xfId="0" applyFont="1" applyBorder="1"/>
    <xf numFmtId="0" fontId="13" fillId="0" borderId="0" xfId="0" applyFont="1"/>
    <xf numFmtId="0" fontId="14" fillId="0" borderId="0" xfId="0" applyFont="1"/>
    <xf numFmtId="0" fontId="15" fillId="0" borderId="3" xfId="0" applyFont="1" applyBorder="1"/>
    <xf numFmtId="10" fontId="16" fillId="0" borderId="2" xfId="0" applyNumberFormat="1" applyFont="1" applyBorder="1"/>
    <xf numFmtId="2" fontId="11" fillId="0" borderId="0" xfId="0" applyNumberFormat="1" applyFont="1" applyAlignment="1">
      <alignment horizontal="right"/>
    </xf>
    <xf numFmtId="0" fontId="18" fillId="0" borderId="4" xfId="0" applyFont="1" applyBorder="1"/>
    <xf numFmtId="0" fontId="18" fillId="0" borderId="5" xfId="0" applyFont="1" applyBorder="1"/>
    <xf numFmtId="167" fontId="18" fillId="0" borderId="5" xfId="0" applyNumberFormat="1" applyFont="1" applyBorder="1"/>
    <xf numFmtId="0" fontId="19" fillId="0" borderId="0" xfId="2"/>
    <xf numFmtId="0" fontId="20" fillId="3" borderId="1" xfId="0" applyFont="1" applyFill="1" applyBorder="1"/>
    <xf numFmtId="0" fontId="20" fillId="4" borderId="1" xfId="0" applyFont="1" applyFill="1" applyBorder="1"/>
    <xf numFmtId="0" fontId="21" fillId="0" borderId="0" xfId="0" applyFont="1"/>
    <xf numFmtId="0" fontId="1" fillId="0" borderId="0" xfId="0" applyFont="1"/>
    <xf numFmtId="2" fontId="22" fillId="0" borderId="0" xfId="0" applyNumberFormat="1" applyFont="1" applyAlignment="1">
      <alignment horizontal="center" vertical="center"/>
    </xf>
    <xf numFmtId="0" fontId="23" fillId="3" borderId="2" xfId="0" applyFont="1" applyFill="1" applyBorder="1"/>
    <xf numFmtId="0" fontId="23" fillId="0" borderId="0" xfId="0" applyFont="1"/>
    <xf numFmtId="168" fontId="23" fillId="3" borderId="0" xfId="0" applyNumberFormat="1" applyFont="1" applyFill="1"/>
    <xf numFmtId="0" fontId="23" fillId="5" borderId="0" xfId="0" applyFont="1" applyFill="1"/>
    <xf numFmtId="0" fontId="0" fillId="5" borderId="0" xfId="0" applyFill="1"/>
    <xf numFmtId="170" fontId="17" fillId="0" borderId="0" xfId="1" applyNumberFormat="1" applyFont="1" applyBorder="1" applyAlignment="1">
      <alignment horizontal="left"/>
    </xf>
    <xf numFmtId="0" fontId="12" fillId="0" borderId="0" xfId="0" applyFont="1"/>
    <xf numFmtId="166" fontId="10" fillId="0" borderId="5" xfId="1" applyNumberFormat="1" applyFont="1" applyBorder="1"/>
    <xf numFmtId="0" fontId="0" fillId="8" borderId="15" xfId="0" applyFill="1" applyBorder="1"/>
    <xf numFmtId="16" fontId="0" fillId="0" borderId="2" xfId="0" applyNumberFormat="1" applyBorder="1"/>
    <xf numFmtId="0" fontId="8" fillId="8" borderId="15" xfId="0" applyFont="1" applyFill="1" applyBorder="1"/>
    <xf numFmtId="0" fontId="0" fillId="5" borderId="15" xfId="0" applyFill="1" applyBorder="1"/>
    <xf numFmtId="167" fontId="8" fillId="0" borderId="19" xfId="0" applyNumberFormat="1" applyFont="1" applyBorder="1"/>
    <xf numFmtId="166" fontId="3" fillId="0" borderId="20" xfId="1" applyNumberFormat="1" applyFont="1" applyBorder="1"/>
    <xf numFmtId="0" fontId="25" fillId="5" borderId="22" xfId="0" applyFont="1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0" borderId="22" xfId="0" applyBorder="1"/>
    <xf numFmtId="167" fontId="25" fillId="0" borderId="19" xfId="0" applyNumberFormat="1" applyFont="1" applyBorder="1"/>
    <xf numFmtId="171" fontId="25" fillId="7" borderId="23" xfId="0" applyNumberFormat="1" applyFont="1" applyFill="1" applyBorder="1"/>
    <xf numFmtId="171" fontId="25" fillId="7" borderId="24" xfId="0" applyNumberFormat="1" applyFont="1" applyFill="1" applyBorder="1"/>
    <xf numFmtId="172" fontId="25" fillId="0" borderId="15" xfId="1" applyNumberFormat="1" applyFont="1" applyBorder="1"/>
    <xf numFmtId="166" fontId="25" fillId="0" borderId="19" xfId="1" applyNumberFormat="1" applyFont="1" applyBorder="1"/>
    <xf numFmtId="171" fontId="1" fillId="0" borderId="14" xfId="0" applyNumberFormat="1" applyFont="1" applyBorder="1"/>
    <xf numFmtId="166" fontId="1" fillId="0" borderId="26" xfId="1" applyNumberFormat="1" applyFont="1" applyBorder="1"/>
    <xf numFmtId="167" fontId="0" fillId="5" borderId="0" xfId="0" applyNumberFormat="1" applyFill="1"/>
    <xf numFmtId="167" fontId="3" fillId="0" borderId="18" xfId="0" applyNumberFormat="1" applyFont="1" applyBorder="1"/>
    <xf numFmtId="0" fontId="25" fillId="5" borderId="11" xfId="0" applyFont="1" applyFill="1" applyBorder="1" applyAlignment="1">
      <alignment horizontal="center"/>
    </xf>
    <xf numFmtId="0" fontId="0" fillId="5" borderId="11" xfId="0" applyFill="1" applyBorder="1"/>
    <xf numFmtId="16" fontId="0" fillId="5" borderId="11" xfId="0" applyNumberFormat="1" applyFill="1" applyBorder="1"/>
    <xf numFmtId="0" fontId="25" fillId="5" borderId="12" xfId="0" applyFont="1" applyFill="1" applyBorder="1" applyAlignment="1">
      <alignment horizontal="center"/>
    </xf>
    <xf numFmtId="0" fontId="0" fillId="8" borderId="17" xfId="0" applyFill="1" applyBorder="1"/>
    <xf numFmtId="0" fontId="3" fillId="5" borderId="30" xfId="1" applyNumberFormat="1" applyFont="1" applyFill="1" applyBorder="1"/>
    <xf numFmtId="0" fontId="7" fillId="0" borderId="10" xfId="0" applyFont="1" applyBorder="1"/>
    <xf numFmtId="0" fontId="0" fillId="0" borderId="31" xfId="0" applyBorder="1"/>
    <xf numFmtId="0" fontId="0" fillId="0" borderId="32" xfId="0" applyBorder="1"/>
    <xf numFmtId="10" fontId="25" fillId="7" borderId="4" xfId="0" applyNumberFormat="1" applyFont="1" applyFill="1" applyBorder="1"/>
    <xf numFmtId="167" fontId="1" fillId="0" borderId="19" xfId="0" applyNumberFormat="1" applyFont="1" applyBorder="1"/>
    <xf numFmtId="171" fontId="1" fillId="0" borderId="15" xfId="0" applyNumberFormat="1" applyFont="1" applyBorder="1"/>
    <xf numFmtId="166" fontId="1" fillId="0" borderId="19" xfId="1" applyNumberFormat="1" applyFont="1" applyBorder="1"/>
    <xf numFmtId="166" fontId="1" fillId="0" borderId="18" xfId="1" applyNumberFormat="1" applyFont="1" applyBorder="1"/>
    <xf numFmtId="166" fontId="1" fillId="0" borderId="25" xfId="1" applyNumberFormat="1" applyFont="1" applyBorder="1"/>
    <xf numFmtId="0" fontId="0" fillId="0" borderId="18" xfId="0" applyBorder="1"/>
    <xf numFmtId="166" fontId="1" fillId="0" borderId="17" xfId="1" applyNumberFormat="1" applyFont="1" applyBorder="1"/>
    <xf numFmtId="166" fontId="1" fillId="0" borderId="15" xfId="1" applyNumberFormat="1" applyFont="1" applyBorder="1"/>
    <xf numFmtId="170" fontId="1" fillId="0" borderId="25" xfId="1" applyNumberFormat="1" applyFont="1" applyBorder="1"/>
    <xf numFmtId="170" fontId="1" fillId="0" borderId="26" xfId="1" applyNumberFormat="1" applyFont="1" applyBorder="1"/>
    <xf numFmtId="0" fontId="25" fillId="0" borderId="2" xfId="0" applyFont="1" applyBorder="1"/>
    <xf numFmtId="9" fontId="25" fillId="0" borderId="0" xfId="0" applyNumberFormat="1" applyFont="1"/>
    <xf numFmtId="0" fontId="25" fillId="0" borderId="0" xfId="0" applyFont="1"/>
    <xf numFmtId="167" fontId="25" fillId="0" borderId="0" xfId="0" applyNumberFormat="1" applyFont="1"/>
    <xf numFmtId="0" fontId="32" fillId="0" borderId="2" xfId="0" applyFont="1" applyBorder="1"/>
    <xf numFmtId="0" fontId="34" fillId="0" borderId="2" xfId="0" applyFont="1" applyBorder="1"/>
    <xf numFmtId="172" fontId="25" fillId="0" borderId="26" xfId="1" applyNumberFormat="1" applyFont="1" applyBorder="1"/>
    <xf numFmtId="0" fontId="25" fillId="0" borderId="4" xfId="0" applyFont="1" applyBorder="1"/>
    <xf numFmtId="0" fontId="25" fillId="0" borderId="5" xfId="0" applyFont="1" applyBorder="1"/>
    <xf numFmtId="2" fontId="11" fillId="0" borderId="5" xfId="0" applyNumberFormat="1" applyFont="1" applyBorder="1"/>
    <xf numFmtId="0" fontId="3" fillId="0" borderId="31" xfId="0" applyFont="1" applyBorder="1"/>
    <xf numFmtId="43" fontId="3" fillId="0" borderId="0" xfId="0" applyNumberFormat="1" applyFont="1"/>
    <xf numFmtId="0" fontId="15" fillId="0" borderId="0" xfId="0" applyFont="1"/>
    <xf numFmtId="0" fontId="0" fillId="0" borderId="17" xfId="0" applyBorder="1"/>
    <xf numFmtId="0" fontId="0" fillId="0" borderId="15" xfId="0" applyBorder="1"/>
    <xf numFmtId="0" fontId="8" fillId="0" borderId="15" xfId="0" applyFont="1" applyBorder="1"/>
    <xf numFmtId="169" fontId="3" fillId="7" borderId="16" xfId="1" applyNumberFormat="1" applyFont="1" applyFill="1" applyBorder="1"/>
    <xf numFmtId="167" fontId="0" fillId="0" borderId="38" xfId="0" applyNumberFormat="1" applyBorder="1"/>
    <xf numFmtId="167" fontId="3" fillId="0" borderId="8" xfId="0" applyNumberFormat="1" applyFont="1" applyBorder="1"/>
    <xf numFmtId="165" fontId="25" fillId="7" borderId="4" xfId="1" applyNumberFormat="1" applyFont="1" applyFill="1" applyBorder="1"/>
    <xf numFmtId="165" fontId="0" fillId="0" borderId="19" xfId="1" applyNumberFormat="1" applyFont="1" applyBorder="1"/>
    <xf numFmtId="169" fontId="0" fillId="0" borderId="15" xfId="1" applyNumberFormat="1" applyFont="1" applyBorder="1"/>
    <xf numFmtId="165" fontId="25" fillId="7" borderId="29" xfId="1" applyNumberFormat="1" applyFont="1" applyFill="1" applyBorder="1"/>
    <xf numFmtId="165" fontId="0" fillId="0" borderId="18" xfId="1" applyNumberFormat="1" applyFont="1" applyBorder="1"/>
    <xf numFmtId="169" fontId="0" fillId="0" borderId="17" xfId="1" applyNumberFormat="1" applyFont="1" applyBorder="1"/>
    <xf numFmtId="166" fontId="0" fillId="0" borderId="19" xfId="1" applyNumberFormat="1" applyFont="1" applyBorder="1" applyAlignment="1">
      <alignment horizontal="left" indent="1"/>
    </xf>
    <xf numFmtId="0" fontId="9" fillId="0" borderId="2" xfId="0" applyFont="1" applyBorder="1"/>
    <xf numFmtId="0" fontId="23" fillId="3" borderId="0" xfId="0" applyFont="1" applyFill="1"/>
    <xf numFmtId="0" fontId="36" fillId="0" borderId="2" xfId="0" applyFont="1" applyBorder="1"/>
    <xf numFmtId="0" fontId="36" fillId="0" borderId="10" xfId="0" applyFont="1" applyBorder="1"/>
    <xf numFmtId="0" fontId="25" fillId="0" borderId="40" xfId="0" applyFont="1" applyBorder="1" applyAlignment="1">
      <alignment horizontal="center"/>
    </xf>
    <xf numFmtId="165" fontId="0" fillId="0" borderId="35" xfId="1" applyNumberFormat="1" applyFont="1" applyBorder="1"/>
    <xf numFmtId="165" fontId="0" fillId="0" borderId="28" xfId="1" applyNumberFormat="1" applyFont="1" applyBorder="1"/>
    <xf numFmtId="165" fontId="25" fillId="7" borderId="36" xfId="1" applyNumberFormat="1" applyFont="1" applyFill="1" applyBorder="1"/>
    <xf numFmtId="169" fontId="0" fillId="0" borderId="25" xfId="1" applyNumberFormat="1" applyFont="1" applyBorder="1"/>
    <xf numFmtId="169" fontId="0" fillId="0" borderId="26" xfId="1" applyNumberFormat="1" applyFont="1" applyBorder="1"/>
    <xf numFmtId="0" fontId="25" fillId="0" borderId="44" xfId="0" applyFont="1" applyBorder="1" applyAlignment="1">
      <alignment horizontal="center"/>
    </xf>
    <xf numFmtId="0" fontId="7" fillId="0" borderId="45" xfId="0" applyFont="1" applyBorder="1"/>
    <xf numFmtId="0" fontId="0" fillId="0" borderId="46" xfId="0" applyBorder="1"/>
    <xf numFmtId="166" fontId="10" fillId="0" borderId="47" xfId="1" applyNumberFormat="1" applyFont="1" applyBorder="1"/>
    <xf numFmtId="166" fontId="10" fillId="0" borderId="48" xfId="1" applyNumberFormat="1" applyFont="1" applyBorder="1"/>
    <xf numFmtId="0" fontId="0" fillId="0" borderId="50" xfId="0" applyBorder="1"/>
    <xf numFmtId="167" fontId="3" fillId="0" borderId="50" xfId="0" applyNumberFormat="1" applyFont="1" applyBorder="1"/>
    <xf numFmtId="167" fontId="37" fillId="0" borderId="19" xfId="0" applyNumberFormat="1" applyFont="1" applyBorder="1"/>
    <xf numFmtId="167" fontId="0" fillId="0" borderId="51" xfId="0" applyNumberFormat="1" applyBorder="1"/>
    <xf numFmtId="0" fontId="0" fillId="0" borderId="35" xfId="0" applyBorder="1"/>
    <xf numFmtId="0" fontId="0" fillId="0" borderId="28" xfId="0" applyBorder="1"/>
    <xf numFmtId="0" fontId="37" fillId="0" borderId="28" xfId="0" applyFont="1" applyBorder="1"/>
    <xf numFmtId="166" fontId="3" fillId="0" borderId="52" xfId="1" applyNumberFormat="1" applyFont="1" applyBorder="1"/>
    <xf numFmtId="0" fontId="8" fillId="0" borderId="28" xfId="0" applyFont="1" applyBorder="1"/>
    <xf numFmtId="167" fontId="3" fillId="0" borderId="25" xfId="0" applyNumberFormat="1" applyFont="1" applyBorder="1"/>
    <xf numFmtId="167" fontId="25" fillId="0" borderId="26" xfId="0" applyNumberFormat="1" applyFont="1" applyBorder="1"/>
    <xf numFmtId="167" fontId="8" fillId="0" borderId="26" xfId="0" applyNumberFormat="1" applyFont="1" applyBorder="1"/>
    <xf numFmtId="169" fontId="3" fillId="7" borderId="27" xfId="1" applyNumberFormat="1" applyFont="1" applyFill="1" applyBorder="1"/>
    <xf numFmtId="167" fontId="0" fillId="0" borderId="26" xfId="0" applyNumberFormat="1" applyBorder="1"/>
    <xf numFmtId="0" fontId="0" fillId="0" borderId="25" xfId="0" applyBorder="1"/>
    <xf numFmtId="0" fontId="0" fillId="0" borderId="26" xfId="0" applyBorder="1"/>
    <xf numFmtId="0" fontId="8" fillId="0" borderId="26" xfId="0" applyFont="1" applyBorder="1"/>
    <xf numFmtId="0" fontId="0" fillId="0" borderId="53" xfId="0" applyBorder="1"/>
    <xf numFmtId="0" fontId="0" fillId="0" borderId="54" xfId="0" applyBorder="1"/>
    <xf numFmtId="0" fontId="37" fillId="0" borderId="54" xfId="0" applyFont="1" applyBorder="1"/>
    <xf numFmtId="166" fontId="3" fillId="0" borderId="55" xfId="1" applyNumberFormat="1" applyFont="1" applyBorder="1"/>
    <xf numFmtId="167" fontId="0" fillId="0" borderId="46" xfId="0" applyNumberFormat="1" applyBorder="1"/>
    <xf numFmtId="0" fontId="0" fillId="0" borderId="49" xfId="0" applyBorder="1"/>
    <xf numFmtId="166" fontId="0" fillId="0" borderId="18" xfId="1" applyNumberFormat="1" applyFont="1" applyBorder="1" applyAlignment="1">
      <alignment horizontal="left" indent="1"/>
    </xf>
    <xf numFmtId="0" fontId="0" fillId="0" borderId="56" xfId="0" applyBorder="1"/>
    <xf numFmtId="166" fontId="0" fillId="0" borderId="17" xfId="1" applyNumberFormat="1" applyFont="1" applyBorder="1" applyAlignment="1">
      <alignment horizontal="left" indent="1"/>
    </xf>
    <xf numFmtId="166" fontId="0" fillId="0" borderId="15" xfId="1" applyNumberFormat="1" applyFont="1" applyBorder="1" applyAlignment="1">
      <alignment horizontal="left" indent="1"/>
    </xf>
    <xf numFmtId="0" fontId="37" fillId="0" borderId="2" xfId="0" applyFont="1" applyBorder="1"/>
    <xf numFmtId="167" fontId="0" fillId="0" borderId="22" xfId="0" applyNumberFormat="1" applyBorder="1"/>
    <xf numFmtId="9" fontId="25" fillId="7" borderId="27" xfId="0" applyNumberFormat="1" applyFont="1" applyFill="1" applyBorder="1" applyAlignment="1">
      <alignment horizontal="center"/>
    </xf>
    <xf numFmtId="9" fontId="25" fillId="7" borderId="16" xfId="0" applyNumberFormat="1" applyFont="1" applyFill="1" applyBorder="1" applyAlignment="1">
      <alignment horizontal="center"/>
    </xf>
    <xf numFmtId="9" fontId="25" fillId="7" borderId="58" xfId="0" applyNumberFormat="1" applyFont="1" applyFill="1" applyBorder="1" applyAlignment="1">
      <alignment horizontal="center"/>
    </xf>
    <xf numFmtId="9" fontId="25" fillId="7" borderId="62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6" fontId="0" fillId="0" borderId="26" xfId="1" applyNumberFormat="1" applyFont="1" applyBorder="1" applyAlignment="1">
      <alignment horizontal="left" indent="1"/>
    </xf>
    <xf numFmtId="166" fontId="0" fillId="0" borderId="25" xfId="1" applyNumberFormat="1" applyFont="1" applyBorder="1" applyAlignment="1">
      <alignment horizontal="left" indent="1"/>
    </xf>
    <xf numFmtId="166" fontId="7" fillId="0" borderId="29" xfId="1" applyNumberFormat="1" applyFont="1" applyBorder="1" applyAlignment="1">
      <alignment horizontal="left" indent="1"/>
    </xf>
    <xf numFmtId="166" fontId="7" fillId="7" borderId="37" xfId="1" applyNumberFormat="1" applyFont="1" applyFill="1" applyBorder="1" applyAlignment="1">
      <alignment horizontal="left" indent="1"/>
    </xf>
    <xf numFmtId="166" fontId="7" fillId="7" borderId="24" xfId="1" applyNumberFormat="1" applyFont="1" applyFill="1" applyBorder="1" applyAlignment="1">
      <alignment horizontal="left" indent="1"/>
    </xf>
    <xf numFmtId="0" fontId="25" fillId="0" borderId="57" xfId="0" applyFont="1" applyBorder="1" applyAlignment="1">
      <alignment horizontal="center"/>
    </xf>
    <xf numFmtId="165" fontId="38" fillId="9" borderId="34" xfId="1" applyNumberFormat="1" applyFont="1" applyFill="1" applyBorder="1"/>
    <xf numFmtId="0" fontId="39" fillId="0" borderId="10" xfId="0" applyFont="1" applyBorder="1"/>
    <xf numFmtId="0" fontId="40" fillId="0" borderId="2" xfId="0" applyFont="1" applyBorder="1"/>
    <xf numFmtId="167" fontId="40" fillId="0" borderId="19" xfId="0" applyNumberFormat="1" applyFont="1" applyBorder="1"/>
    <xf numFmtId="0" fontId="39" fillId="0" borderId="2" xfId="0" applyFont="1" applyBorder="1"/>
    <xf numFmtId="167" fontId="40" fillId="0" borderId="19" xfId="0" applyNumberFormat="1" applyFont="1" applyBorder="1" applyAlignment="1">
      <alignment horizontal="right"/>
    </xf>
    <xf numFmtId="167" fontId="3" fillId="8" borderId="25" xfId="0" applyNumberFormat="1" applyFont="1" applyFill="1" applyBorder="1"/>
    <xf numFmtId="167" fontId="0" fillId="8" borderId="26" xfId="0" applyNumberFormat="1" applyFill="1" applyBorder="1"/>
    <xf numFmtId="167" fontId="40" fillId="8" borderId="26" xfId="0" applyNumberFormat="1" applyFont="1" applyFill="1" applyBorder="1"/>
    <xf numFmtId="0" fontId="0" fillId="8" borderId="25" xfId="0" applyFill="1" applyBorder="1"/>
    <xf numFmtId="0" fontId="0" fillId="0" borderId="19" xfId="0" applyBorder="1"/>
    <xf numFmtId="0" fontId="0" fillId="8" borderId="26" xfId="0" applyFill="1" applyBorder="1"/>
    <xf numFmtId="0" fontId="40" fillId="0" borderId="19" xfId="0" applyFont="1" applyBorder="1"/>
    <xf numFmtId="0" fontId="40" fillId="8" borderId="26" xfId="0" applyFont="1" applyFill="1" applyBorder="1"/>
    <xf numFmtId="0" fontId="40" fillId="0" borderId="28" xfId="0" applyFont="1" applyBorder="1"/>
    <xf numFmtId="0" fontId="3" fillId="0" borderId="4" xfId="0" applyFont="1" applyBorder="1"/>
    <xf numFmtId="166" fontId="3" fillId="0" borderId="29" xfId="1" applyNumberFormat="1" applyFont="1" applyBorder="1"/>
    <xf numFmtId="0" fontId="3" fillId="6" borderId="37" xfId="1" applyNumberFormat="1" applyFont="1" applyFill="1" applyBorder="1"/>
    <xf numFmtId="166" fontId="3" fillId="0" borderId="36" xfId="1" applyNumberFormat="1" applyFont="1" applyBorder="1"/>
    <xf numFmtId="0" fontId="3" fillId="6" borderId="24" xfId="1" applyNumberFormat="1" applyFont="1" applyFill="1" applyBorder="1"/>
    <xf numFmtId="0" fontId="40" fillId="0" borderId="28" xfId="0" applyFont="1" applyBorder="1" applyAlignment="1">
      <alignment horizontal="right"/>
    </xf>
    <xf numFmtId="167" fontId="3" fillId="5" borderId="25" xfId="0" applyNumberFormat="1" applyFont="1" applyFill="1" applyBorder="1"/>
    <xf numFmtId="167" fontId="0" fillId="5" borderId="26" xfId="0" applyNumberFormat="1" applyFill="1" applyBorder="1"/>
    <xf numFmtId="0" fontId="41" fillId="5" borderId="26" xfId="0" applyFont="1" applyFill="1" applyBorder="1"/>
    <xf numFmtId="0" fontId="0" fillId="5" borderId="25" xfId="0" applyFill="1" applyBorder="1"/>
    <xf numFmtId="0" fontId="0" fillId="5" borderId="26" xfId="0" applyFill="1" applyBorder="1"/>
    <xf numFmtId="0" fontId="40" fillId="5" borderId="26" xfId="0" applyFont="1" applyFill="1" applyBorder="1" applyAlignment="1">
      <alignment horizontal="right"/>
    </xf>
    <xf numFmtId="0" fontId="25" fillId="5" borderId="61" xfId="0" applyFont="1" applyFill="1" applyBorder="1" applyAlignment="1">
      <alignment horizontal="center"/>
    </xf>
    <xf numFmtId="10" fontId="16" fillId="0" borderId="39" xfId="0" applyNumberFormat="1" applyFont="1" applyBorder="1"/>
    <xf numFmtId="10" fontId="16" fillId="0" borderId="65" xfId="0" applyNumberFormat="1" applyFont="1" applyBorder="1"/>
    <xf numFmtId="166" fontId="3" fillId="0" borderId="66" xfId="1" applyNumberFormat="1" applyFont="1" applyBorder="1"/>
    <xf numFmtId="0" fontId="3" fillId="6" borderId="58" xfId="1" applyNumberFormat="1" applyFont="1" applyFill="1" applyBorder="1"/>
    <xf numFmtId="166" fontId="10" fillId="0" borderId="67" xfId="1" applyNumberFormat="1" applyFont="1" applyBorder="1"/>
    <xf numFmtId="166" fontId="3" fillId="0" borderId="67" xfId="1" applyNumberFormat="1" applyFont="1" applyBorder="1"/>
    <xf numFmtId="0" fontId="3" fillId="6" borderId="62" xfId="1" applyNumberFormat="1" applyFont="1" applyFill="1" applyBorder="1"/>
    <xf numFmtId="0" fontId="0" fillId="0" borderId="69" xfId="0" applyBorder="1"/>
    <xf numFmtId="0" fontId="0" fillId="0" borderId="68" xfId="0" applyBorder="1" applyAlignment="1">
      <alignment horizontal="center"/>
    </xf>
    <xf numFmtId="1" fontId="7" fillId="0" borderId="70" xfId="0" applyNumberFormat="1" applyFont="1" applyBorder="1" applyAlignment="1">
      <alignment horizontal="right"/>
    </xf>
    <xf numFmtId="0" fontId="25" fillId="5" borderId="71" xfId="0" applyFont="1" applyFill="1" applyBorder="1" applyAlignment="1">
      <alignment horizontal="center"/>
    </xf>
    <xf numFmtId="0" fontId="0" fillId="0" borderId="70" xfId="0" applyBorder="1" applyAlignment="1">
      <alignment horizontal="center"/>
    </xf>
    <xf numFmtId="166" fontId="10" fillId="0" borderId="66" xfId="1" applyNumberFormat="1" applyFont="1" applyBorder="1"/>
    <xf numFmtId="0" fontId="3" fillId="5" borderId="58" xfId="1" applyNumberFormat="1" applyFont="1" applyFill="1" applyBorder="1"/>
    <xf numFmtId="0" fontId="25" fillId="5" borderId="62" xfId="0" applyFont="1" applyFill="1" applyBorder="1" applyAlignment="1">
      <alignment horizontal="center"/>
    </xf>
    <xf numFmtId="9" fontId="2" fillId="0" borderId="60" xfId="0" applyNumberFormat="1" applyFont="1" applyBorder="1"/>
    <xf numFmtId="9" fontId="25" fillId="7" borderId="64" xfId="0" applyNumberFormat="1" applyFont="1" applyFill="1" applyBorder="1" applyAlignment="1">
      <alignment horizontal="center"/>
    </xf>
    <xf numFmtId="9" fontId="25" fillId="7" borderId="73" xfId="0" applyNumberFormat="1" applyFont="1" applyFill="1" applyBorder="1" applyAlignment="1">
      <alignment horizontal="center"/>
    </xf>
    <xf numFmtId="0" fontId="44" fillId="0" borderId="2" xfId="0" applyFont="1" applyBorder="1"/>
    <xf numFmtId="9" fontId="44" fillId="0" borderId="0" xfId="0" applyNumberFormat="1" applyFont="1"/>
    <xf numFmtId="167" fontId="1" fillId="0" borderId="43" xfId="0" applyNumberFormat="1" applyFont="1" applyBorder="1"/>
    <xf numFmtId="166" fontId="0" fillId="0" borderId="57" xfId="1" applyNumberFormat="1" applyFont="1" applyBorder="1"/>
    <xf numFmtId="166" fontId="0" fillId="0" borderId="74" xfId="1" applyNumberFormat="1" applyFont="1" applyBorder="1"/>
    <xf numFmtId="0" fontId="45" fillId="0" borderId="0" xfId="0" applyFont="1"/>
    <xf numFmtId="0" fontId="48" fillId="0" borderId="2" xfId="0" applyFont="1" applyBorder="1" applyAlignment="1">
      <alignment horizontal="center"/>
    </xf>
    <xf numFmtId="0" fontId="49" fillId="0" borderId="0" xfId="0" applyFont="1"/>
    <xf numFmtId="167" fontId="1" fillId="0" borderId="21" xfId="0" applyNumberFormat="1" applyFont="1" applyBorder="1"/>
    <xf numFmtId="171" fontId="1" fillId="0" borderId="13" xfId="0" applyNumberFormat="1" applyFont="1" applyBorder="1"/>
    <xf numFmtId="171" fontId="1" fillId="0" borderId="72" xfId="0" applyNumberFormat="1" applyFont="1" applyBorder="1"/>
    <xf numFmtId="167" fontId="25" fillId="7" borderId="29" xfId="0" applyNumberFormat="1" applyFont="1" applyFill="1" applyBorder="1"/>
    <xf numFmtId="10" fontId="7" fillId="7" borderId="75" xfId="0" applyNumberFormat="1" applyFont="1" applyFill="1" applyBorder="1"/>
    <xf numFmtId="166" fontId="7" fillId="7" borderId="24" xfId="1" applyNumberFormat="1" applyFont="1" applyFill="1" applyBorder="1"/>
    <xf numFmtId="10" fontId="38" fillId="7" borderId="34" xfId="0" applyNumberFormat="1" applyFont="1" applyFill="1" applyBorder="1"/>
    <xf numFmtId="166" fontId="7" fillId="7" borderId="29" xfId="1" applyNumberFormat="1" applyFont="1" applyFill="1" applyBorder="1"/>
    <xf numFmtId="172" fontId="7" fillId="7" borderId="37" xfId="1" applyNumberFormat="1" applyFont="1" applyFill="1" applyBorder="1"/>
    <xf numFmtId="172" fontId="7" fillId="7" borderId="24" xfId="1" applyNumberFormat="1" applyFont="1" applyFill="1" applyBorder="1"/>
    <xf numFmtId="0" fontId="50" fillId="0" borderId="0" xfId="0" applyFont="1"/>
    <xf numFmtId="0" fontId="51" fillId="0" borderId="0" xfId="2" applyFont="1"/>
    <xf numFmtId="0" fontId="52" fillId="0" borderId="0" xfId="0" applyFont="1"/>
    <xf numFmtId="9" fontId="25" fillId="7" borderId="51" xfId="0" applyNumberFormat="1" applyFont="1" applyFill="1" applyBorder="1" applyAlignment="1">
      <alignment horizontal="center"/>
    </xf>
    <xf numFmtId="9" fontId="2" fillId="0" borderId="40" xfId="0" applyNumberFormat="1" applyFont="1" applyBorder="1" applyAlignment="1">
      <alignment horizontal="center"/>
    </xf>
    <xf numFmtId="9" fontId="25" fillId="7" borderId="22" xfId="0" applyNumberFormat="1" applyFont="1" applyFill="1" applyBorder="1"/>
    <xf numFmtId="9" fontId="25" fillId="7" borderId="76" xfId="0" applyNumberFormat="1" applyFont="1" applyFill="1" applyBorder="1"/>
    <xf numFmtId="9" fontId="2" fillId="0" borderId="44" xfId="0" applyNumberFormat="1" applyFont="1" applyBorder="1" applyAlignment="1">
      <alignment horizontal="center"/>
    </xf>
    <xf numFmtId="0" fontId="25" fillId="5" borderId="77" xfId="0" applyFont="1" applyFill="1" applyBorder="1" applyAlignment="1">
      <alignment horizontal="center"/>
    </xf>
    <xf numFmtId="0" fontId="25" fillId="5" borderId="3" xfId="0" applyFont="1" applyFill="1" applyBorder="1" applyAlignment="1">
      <alignment horizontal="center"/>
    </xf>
    <xf numFmtId="9" fontId="2" fillId="0" borderId="1" xfId="0" applyNumberFormat="1" applyFont="1" applyBorder="1"/>
    <xf numFmtId="0" fontId="25" fillId="5" borderId="78" xfId="0" applyFont="1" applyFill="1" applyBorder="1" applyAlignment="1">
      <alignment horizontal="center"/>
    </xf>
    <xf numFmtId="0" fontId="0" fillId="0" borderId="79" xfId="0" applyBorder="1"/>
    <xf numFmtId="0" fontId="42" fillId="5" borderId="78" xfId="0" applyFont="1" applyFill="1" applyBorder="1" applyAlignment="1">
      <alignment horizontal="center"/>
    </xf>
    <xf numFmtId="0" fontId="42" fillId="5" borderId="33" xfId="0" applyFont="1" applyFill="1" applyBorder="1" applyAlignment="1">
      <alignment horizontal="center"/>
    </xf>
    <xf numFmtId="0" fontId="43" fillId="5" borderId="1" xfId="0" applyFont="1" applyFill="1" applyBorder="1"/>
    <xf numFmtId="166" fontId="0" fillId="0" borderId="77" xfId="1" applyNumberFormat="1" applyFont="1" applyBorder="1"/>
    <xf numFmtId="0" fontId="25" fillId="0" borderId="63" xfId="0" applyFont="1" applyBorder="1" applyAlignment="1">
      <alignment horizontal="center"/>
    </xf>
    <xf numFmtId="0" fontId="25" fillId="0" borderId="5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57" fillId="4" borderId="1" xfId="0" applyFont="1" applyFill="1" applyBorder="1"/>
    <xf numFmtId="169" fontId="33" fillId="0" borderId="0" xfId="1" applyNumberFormat="1" applyFont="1" applyBorder="1" applyAlignment="1">
      <alignment horizontal="left"/>
    </xf>
    <xf numFmtId="0" fontId="7" fillId="0" borderId="0" xfId="0" applyFont="1"/>
    <xf numFmtId="0" fontId="47" fillId="0" borderId="2" xfId="0" applyFont="1" applyBorder="1"/>
    <xf numFmtId="0" fontId="7" fillId="0" borderId="4" xfId="0" applyFont="1" applyBorder="1"/>
    <xf numFmtId="0" fontId="10" fillId="0" borderId="10" xfId="0" applyFont="1" applyBorder="1"/>
    <xf numFmtId="0" fontId="25" fillId="0" borderId="81" xfId="0" applyFont="1" applyBorder="1"/>
    <xf numFmtId="167" fontId="25" fillId="0" borderId="80" xfId="0" applyNumberFormat="1" applyFont="1" applyBorder="1"/>
    <xf numFmtId="167" fontId="7" fillId="0" borderId="0" xfId="0" applyNumberFormat="1" applyFont="1"/>
    <xf numFmtId="167" fontId="60" fillId="0" borderId="0" xfId="0" applyNumberFormat="1" applyFont="1"/>
    <xf numFmtId="0" fontId="15" fillId="0" borderId="82" xfId="0" applyFont="1" applyBorder="1"/>
    <xf numFmtId="167" fontId="60" fillId="0" borderId="80" xfId="0" applyNumberFormat="1" applyFont="1" applyBorder="1"/>
    <xf numFmtId="0" fontId="61" fillId="0" borderId="2" xfId="0" applyFont="1" applyBorder="1"/>
    <xf numFmtId="166" fontId="0" fillId="0" borderId="0" xfId="1" applyNumberFormat="1" applyFont="1" applyBorder="1"/>
    <xf numFmtId="166" fontId="0" fillId="0" borderId="3" xfId="1" applyNumberFormat="1" applyFont="1" applyBorder="1"/>
    <xf numFmtId="170" fontId="7" fillId="7" borderId="42" xfId="1" applyNumberFormat="1" applyFont="1" applyFill="1" applyBorder="1"/>
    <xf numFmtId="166" fontId="7" fillId="7" borderId="42" xfId="1" applyNumberFormat="1" applyFont="1" applyFill="1" applyBorder="1"/>
    <xf numFmtId="166" fontId="7" fillId="0" borderId="41" xfId="1" applyNumberFormat="1" applyFont="1" applyBorder="1"/>
    <xf numFmtId="166" fontId="7" fillId="0" borderId="29" xfId="1" applyNumberFormat="1" applyFont="1" applyBorder="1"/>
    <xf numFmtId="165" fontId="25" fillId="0" borderId="2" xfId="1" applyNumberFormat="1" applyFont="1" applyBorder="1"/>
    <xf numFmtId="165" fontId="25" fillId="0" borderId="39" xfId="1" applyNumberFormat="1" applyFont="1" applyBorder="1"/>
    <xf numFmtId="167" fontId="7" fillId="0" borderId="49" xfId="0" applyNumberFormat="1" applyFont="1" applyBorder="1"/>
    <xf numFmtId="0" fontId="38" fillId="0" borderId="2" xfId="0" applyFont="1" applyBorder="1" applyAlignment="1">
      <alignment horizontal="center"/>
    </xf>
    <xf numFmtId="166" fontId="66" fillId="0" borderId="18" xfId="1" applyNumberFormat="1" applyFont="1" applyBorder="1" applyAlignment="1">
      <alignment horizontal="left" indent="1"/>
    </xf>
    <xf numFmtId="166" fontId="66" fillId="0" borderId="25" xfId="1" applyNumberFormat="1" applyFont="1" applyBorder="1" applyAlignment="1">
      <alignment horizontal="left" indent="1"/>
    </xf>
    <xf numFmtId="166" fontId="66" fillId="0" borderId="26" xfId="1" applyNumberFormat="1" applyFont="1" applyBorder="1" applyAlignment="1">
      <alignment horizontal="left" indent="1"/>
    </xf>
    <xf numFmtId="166" fontId="66" fillId="0" borderId="17" xfId="1" applyNumberFormat="1" applyFont="1" applyBorder="1" applyAlignment="1">
      <alignment horizontal="left" indent="1"/>
    </xf>
    <xf numFmtId="166" fontId="66" fillId="0" borderId="15" xfId="1" applyNumberFormat="1" applyFont="1" applyBorder="1" applyAlignment="1">
      <alignment horizontal="left" indent="1"/>
    </xf>
    <xf numFmtId="166" fontId="66" fillId="0" borderId="19" xfId="1" applyNumberFormat="1" applyFont="1" applyBorder="1" applyAlignment="1">
      <alignment horizontal="left" indent="1"/>
    </xf>
    <xf numFmtId="166" fontId="66" fillId="0" borderId="66" xfId="1" applyNumberFormat="1" applyFont="1" applyBorder="1" applyAlignment="1">
      <alignment horizontal="left" indent="1"/>
    </xf>
    <xf numFmtId="166" fontId="66" fillId="0" borderId="58" xfId="1" applyNumberFormat="1" applyFont="1" applyBorder="1" applyAlignment="1">
      <alignment horizontal="left" indent="1"/>
    </xf>
    <xf numFmtId="166" fontId="66" fillId="0" borderId="62" xfId="1" applyNumberFormat="1" applyFont="1" applyBorder="1" applyAlignment="1">
      <alignment horizontal="left" indent="1"/>
    </xf>
    <xf numFmtId="166" fontId="38" fillId="9" borderId="37" xfId="1" applyNumberFormat="1" applyFont="1" applyFill="1" applyBorder="1" applyAlignment="1">
      <alignment horizontal="left" indent="1"/>
    </xf>
    <xf numFmtId="166" fontId="38" fillId="9" borderId="24" xfId="1" applyNumberFormat="1" applyFont="1" applyFill="1" applyBorder="1" applyAlignment="1">
      <alignment horizontal="left" indent="1"/>
    </xf>
    <xf numFmtId="166" fontId="25" fillId="10" borderId="19" xfId="1" applyNumberFormat="1" applyFont="1" applyFill="1" applyBorder="1"/>
    <xf numFmtId="172" fontId="25" fillId="10" borderId="26" xfId="1" applyNumberFormat="1" applyFont="1" applyFill="1" applyBorder="1"/>
    <xf numFmtId="166" fontId="38" fillId="0" borderId="29" xfId="1" applyNumberFormat="1" applyFont="1" applyBorder="1" applyAlignment="1">
      <alignment horizontal="left" indent="1"/>
    </xf>
    <xf numFmtId="0" fontId="6" fillId="2" borderId="0" xfId="0" applyFont="1" applyFill="1"/>
    <xf numFmtId="169" fontId="25" fillId="7" borderId="37" xfId="1" applyNumberFormat="1" applyFont="1" applyFill="1" applyBorder="1"/>
    <xf numFmtId="169" fontId="25" fillId="7" borderId="24" xfId="1" applyNumberFormat="1" applyFont="1" applyFill="1" applyBorder="1"/>
    <xf numFmtId="0" fontId="69" fillId="0" borderId="0" xfId="0" applyFont="1"/>
    <xf numFmtId="0" fontId="70" fillId="5" borderId="0" xfId="0" applyFont="1" applyFill="1"/>
    <xf numFmtId="0" fontId="63" fillId="0" borderId="0" xfId="0" applyFont="1"/>
    <xf numFmtId="0" fontId="13" fillId="0" borderId="0" xfId="2" applyFont="1"/>
    <xf numFmtId="171" fontId="1" fillId="6" borderId="14" xfId="0" applyNumberFormat="1" applyFont="1" applyFill="1" applyBorder="1"/>
    <xf numFmtId="166" fontId="25" fillId="5" borderId="19" xfId="1" applyNumberFormat="1" applyFont="1" applyFill="1" applyBorder="1"/>
    <xf numFmtId="0" fontId="0" fillId="0" borderId="83" xfId="0" applyBorder="1"/>
    <xf numFmtId="0" fontId="25" fillId="5" borderId="84" xfId="0" applyFont="1" applyFill="1" applyBorder="1" applyAlignment="1">
      <alignment horizontal="center"/>
    </xf>
    <xf numFmtId="169" fontId="32" fillId="0" borderId="0" xfId="1" applyNumberFormat="1" applyFont="1" applyBorder="1" applyAlignment="1">
      <alignment horizontal="left"/>
    </xf>
    <xf numFmtId="2" fontId="25" fillId="0" borderId="0" xfId="0" applyNumberFormat="1" applyFont="1" applyAlignment="1">
      <alignment horizontal="right"/>
    </xf>
    <xf numFmtId="2" fontId="25" fillId="0" borderId="5" xfId="0" applyNumberFormat="1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colors>
    <mruColors>
      <color rgb="FF99FF33"/>
      <color rgb="FF00FF00"/>
      <color rgb="FF588824"/>
      <color rgb="FFFF33CC"/>
      <color rgb="FFFF66CC"/>
      <color rgb="FF66FF33"/>
      <color rgb="FF99FF66"/>
      <color rgb="FF92D050"/>
      <color rgb="FFBAE18F"/>
      <color rgb="FF004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G87"/>
  <sheetViews>
    <sheetView tabSelected="1" zoomScaleNormal="100" workbookViewId="0">
      <selection activeCell="M61" sqref="M61"/>
    </sheetView>
  </sheetViews>
  <sheetFormatPr defaultRowHeight="12.75" x14ac:dyDescent="0.2"/>
  <cols>
    <col min="1" max="1" width="1.28515625" customWidth="1"/>
    <col min="2" max="2" width="44.7109375" customWidth="1"/>
    <col min="3" max="3" width="18.7109375" customWidth="1"/>
    <col min="4" max="4" width="14.28515625" customWidth="1"/>
    <col min="5" max="5" width="16.85546875" customWidth="1"/>
    <col min="6" max="6" width="14.42578125" customWidth="1"/>
    <col min="7" max="7" width="16.7109375" customWidth="1"/>
    <col min="8" max="8" width="14.42578125" customWidth="1"/>
    <col min="9" max="9" width="15.85546875" customWidth="1"/>
    <col min="10" max="10" width="16.28515625" customWidth="1"/>
    <col min="11" max="11" width="26.42578125" customWidth="1"/>
    <col min="12" max="12" width="47.5703125" customWidth="1"/>
    <col min="13" max="13" width="19" customWidth="1"/>
    <col min="14" max="14" width="15.5703125" customWidth="1"/>
    <col min="15" max="15" width="19" customWidth="1"/>
    <col min="16" max="16" width="18" customWidth="1"/>
    <col min="17" max="17" width="20.5703125" customWidth="1"/>
    <col min="18" max="18" width="17.7109375" customWidth="1"/>
    <col min="19" max="19" width="19.85546875" customWidth="1"/>
    <col min="20" max="20" width="23" customWidth="1"/>
    <col min="21" max="21" width="11.140625" customWidth="1"/>
    <col min="22" max="25" width="9.140625" hidden="1" customWidth="1"/>
    <col min="26" max="32" width="0" hidden="1" customWidth="1"/>
    <col min="33" max="34" width="9.140625" customWidth="1"/>
  </cols>
  <sheetData>
    <row r="1" spans="2:20" ht="48.75" customHeight="1" x14ac:dyDescent="0.7">
      <c r="B1" s="236" t="s">
        <v>86</v>
      </c>
    </row>
    <row r="2" spans="2:20" ht="39" customHeight="1" thickBot="1" x14ac:dyDescent="0.45">
      <c r="B2" s="297" t="s">
        <v>40</v>
      </c>
      <c r="C2" s="49"/>
      <c r="L2" s="297"/>
      <c r="M2" s="49"/>
    </row>
    <row r="3" spans="2:20" ht="30.75" thickTop="1" x14ac:dyDescent="0.4">
      <c r="B3" s="14"/>
      <c r="C3" s="15"/>
      <c r="D3" s="15"/>
      <c r="E3" s="256" t="s">
        <v>7</v>
      </c>
      <c r="F3" s="41"/>
      <c r="G3" s="15"/>
      <c r="H3" s="15"/>
      <c r="I3" s="15"/>
      <c r="J3" s="16"/>
      <c r="K3" s="44" t="s">
        <v>89</v>
      </c>
      <c r="L3" s="14"/>
      <c r="M3" s="15"/>
      <c r="N3" s="15"/>
      <c r="O3" s="40" t="s">
        <v>8</v>
      </c>
      <c r="P3" s="40"/>
      <c r="Q3" s="15"/>
      <c r="R3" s="15"/>
      <c r="S3" s="15"/>
      <c r="T3" s="16"/>
    </row>
    <row r="4" spans="2:20" ht="18.75" thickBot="1" x14ac:dyDescent="0.3">
      <c r="B4" s="11"/>
      <c r="C4" s="21" t="s">
        <v>11</v>
      </c>
      <c r="D4" s="21"/>
      <c r="E4" s="12"/>
      <c r="F4" s="12"/>
      <c r="G4" s="12"/>
      <c r="H4" s="12"/>
      <c r="I4" s="12"/>
      <c r="J4" s="13"/>
      <c r="K4" s="3"/>
      <c r="L4" s="11"/>
      <c r="M4" s="21" t="s">
        <v>12</v>
      </c>
      <c r="N4" s="21"/>
      <c r="O4" s="12"/>
      <c r="P4" s="12"/>
      <c r="Q4" s="12"/>
      <c r="R4" s="12"/>
      <c r="S4" s="12"/>
      <c r="T4" s="13"/>
    </row>
    <row r="5" spans="2:20" ht="13.5" thickTop="1" x14ac:dyDescent="0.2">
      <c r="B5" s="14"/>
      <c r="C5" s="15"/>
      <c r="G5" s="15"/>
      <c r="H5" s="15"/>
      <c r="I5" s="15"/>
      <c r="J5" s="16"/>
      <c r="K5" s="3"/>
      <c r="L5" s="9"/>
      <c r="T5" s="16"/>
    </row>
    <row r="6" spans="2:20" ht="20.25" x14ac:dyDescent="0.3">
      <c r="B6" s="95" t="s">
        <v>85</v>
      </c>
      <c r="G6" s="257">
        <v>16849.63</v>
      </c>
      <c r="H6" s="50"/>
      <c r="J6" s="10"/>
      <c r="K6" s="3"/>
      <c r="L6" s="95" t="s">
        <v>9</v>
      </c>
      <c r="Q6" s="304">
        <v>4387.5</v>
      </c>
      <c r="R6" s="29"/>
      <c r="S6" s="102">
        <f>Q6/Q10</f>
        <v>141.06140056985527</v>
      </c>
      <c r="T6" s="17"/>
    </row>
    <row r="7" spans="2:20" x14ac:dyDescent="0.2">
      <c r="B7" s="91" t="s">
        <v>18</v>
      </c>
      <c r="G7" s="305">
        <v>0.70499999999999996</v>
      </c>
      <c r="H7" s="35"/>
      <c r="J7" s="10"/>
      <c r="K7" s="3"/>
      <c r="L7" s="91" t="s">
        <v>19</v>
      </c>
      <c r="M7" s="93"/>
      <c r="N7" s="93"/>
      <c r="O7" s="93"/>
      <c r="P7" s="93"/>
      <c r="Q7" s="305">
        <f>G7</f>
        <v>0.70499999999999996</v>
      </c>
      <c r="R7" s="35"/>
      <c r="T7" s="10"/>
    </row>
    <row r="8" spans="2:20" x14ac:dyDescent="0.2">
      <c r="B8" s="218" t="s">
        <v>37</v>
      </c>
      <c r="G8" s="219">
        <v>0.65</v>
      </c>
      <c r="H8" s="5"/>
      <c r="I8" s="51"/>
      <c r="J8" s="10"/>
      <c r="K8" s="3"/>
      <c r="L8" s="91" t="s">
        <v>13</v>
      </c>
      <c r="M8" s="93"/>
      <c r="N8" s="93"/>
      <c r="O8" s="93"/>
      <c r="P8" s="93"/>
      <c r="Q8" s="92">
        <v>1</v>
      </c>
      <c r="R8" s="92"/>
      <c r="T8" s="10"/>
    </row>
    <row r="9" spans="2:20" x14ac:dyDescent="0.2">
      <c r="B9" s="91"/>
      <c r="G9" s="92"/>
      <c r="H9" s="5"/>
      <c r="J9" s="30"/>
      <c r="K9" s="3"/>
      <c r="L9" s="91" t="s">
        <v>0</v>
      </c>
      <c r="M9" s="93"/>
      <c r="N9" s="93"/>
      <c r="O9" s="93"/>
      <c r="P9" s="93"/>
      <c r="Q9" s="92">
        <v>0.95</v>
      </c>
      <c r="R9" s="92"/>
      <c r="T9" s="10"/>
    </row>
    <row r="10" spans="2:20" ht="13.5" thickBot="1" x14ac:dyDescent="0.25">
      <c r="B10" s="11"/>
      <c r="C10" s="12"/>
      <c r="D10" s="12"/>
      <c r="E10" s="12"/>
      <c r="F10" s="12"/>
      <c r="G10" s="12"/>
      <c r="H10" s="12"/>
      <c r="I10" s="12"/>
      <c r="J10" s="10"/>
      <c r="K10" s="3"/>
      <c r="L10" s="98" t="s">
        <v>88</v>
      </c>
      <c r="M10" s="99"/>
      <c r="N10" s="99"/>
      <c r="O10" s="99"/>
      <c r="P10" s="99"/>
      <c r="Q10" s="306">
        <v>31.103476799999999</v>
      </c>
      <c r="R10" s="100"/>
      <c r="S10" s="12"/>
      <c r="T10" s="13"/>
    </row>
    <row r="11" spans="2:20" ht="21" thickTop="1" x14ac:dyDescent="0.3">
      <c r="B11" s="96" t="s">
        <v>67</v>
      </c>
      <c r="J11" s="16"/>
      <c r="K11" s="3"/>
      <c r="L11" s="96" t="s">
        <v>79</v>
      </c>
      <c r="T11" s="16"/>
    </row>
    <row r="12" spans="2:20" x14ac:dyDescent="0.2">
      <c r="B12" s="9"/>
      <c r="J12" s="10"/>
      <c r="K12" s="3"/>
      <c r="L12" s="9"/>
      <c r="T12" s="10"/>
    </row>
    <row r="13" spans="2:20" x14ac:dyDescent="0.2">
      <c r="B13" s="91" t="s">
        <v>1</v>
      </c>
      <c r="C13" s="93"/>
      <c r="D13" s="93"/>
      <c r="E13" s="93"/>
      <c r="F13" s="93"/>
      <c r="G13" s="94">
        <v>8</v>
      </c>
      <c r="H13" s="6"/>
      <c r="J13" s="10"/>
      <c r="K13" s="3"/>
      <c r="L13" s="91" t="s">
        <v>1</v>
      </c>
      <c r="M13" s="93"/>
      <c r="N13" s="93"/>
      <c r="O13" s="93"/>
      <c r="P13" s="93"/>
      <c r="Q13" s="94">
        <v>8</v>
      </c>
      <c r="R13" s="94"/>
      <c r="T13" s="10"/>
    </row>
    <row r="14" spans="2:20" x14ac:dyDescent="0.2">
      <c r="B14" s="91" t="s">
        <v>2</v>
      </c>
      <c r="C14" s="93"/>
      <c r="D14" s="93"/>
      <c r="E14" s="93"/>
      <c r="F14" s="93"/>
      <c r="G14" s="94">
        <v>6</v>
      </c>
      <c r="H14" s="6"/>
      <c r="J14" s="10"/>
      <c r="K14" s="3"/>
      <c r="L14" s="91" t="s">
        <v>2</v>
      </c>
      <c r="M14" s="93"/>
      <c r="N14" s="93"/>
      <c r="O14" s="93"/>
      <c r="P14" s="93"/>
      <c r="Q14" s="94">
        <v>3</v>
      </c>
      <c r="R14" s="94"/>
      <c r="T14" s="10"/>
    </row>
    <row r="15" spans="2:20" x14ac:dyDescent="0.2">
      <c r="B15" s="262" t="s">
        <v>53</v>
      </c>
      <c r="C15" s="93"/>
      <c r="D15" s="93"/>
      <c r="E15" s="93"/>
      <c r="F15" s="93"/>
      <c r="G15" s="263">
        <v>15</v>
      </c>
      <c r="H15" s="266" t="s">
        <v>17</v>
      </c>
      <c r="I15" s="103"/>
      <c r="J15" s="10"/>
      <c r="K15" s="3"/>
      <c r="L15" s="262" t="s">
        <v>3</v>
      </c>
      <c r="M15" s="93"/>
      <c r="N15" s="93"/>
      <c r="P15" s="93"/>
      <c r="Q15" s="263">
        <v>15</v>
      </c>
      <c r="R15" s="266" t="s">
        <v>17</v>
      </c>
      <c r="S15" s="9"/>
      <c r="T15" s="33"/>
    </row>
    <row r="16" spans="2:20" x14ac:dyDescent="0.2">
      <c r="B16" s="91"/>
      <c r="C16" s="93"/>
      <c r="D16" s="93"/>
      <c r="E16" s="93" t="s">
        <v>52</v>
      </c>
      <c r="F16" s="93"/>
      <c r="G16" s="94">
        <f>G13+G14+G15</f>
        <v>29</v>
      </c>
      <c r="H16" s="6"/>
      <c r="J16" s="33"/>
      <c r="K16" s="3"/>
      <c r="L16" s="91"/>
      <c r="M16" s="93"/>
      <c r="N16" s="93"/>
      <c r="P16" s="93" t="s">
        <v>52</v>
      </c>
      <c r="Q16" s="94">
        <f>Q13+Q14+Q15</f>
        <v>26</v>
      </c>
      <c r="R16" s="94"/>
      <c r="T16" s="10"/>
    </row>
    <row r="17" spans="2:20" x14ac:dyDescent="0.2">
      <c r="B17" s="91" t="s">
        <v>54</v>
      </c>
      <c r="C17" s="93"/>
      <c r="D17" s="93"/>
      <c r="E17" s="93" t="s">
        <v>52</v>
      </c>
      <c r="F17" s="93"/>
      <c r="G17" s="94">
        <v>171.4</v>
      </c>
      <c r="H17" s="265" t="s">
        <v>58</v>
      </c>
      <c r="J17" s="10"/>
      <c r="K17" s="3"/>
      <c r="L17" s="91" t="s">
        <v>69</v>
      </c>
      <c r="M17" s="93"/>
      <c r="N17" s="93"/>
      <c r="O17" s="93"/>
      <c r="P17" s="93"/>
      <c r="Q17" s="263">
        <v>171.4</v>
      </c>
      <c r="R17" s="263">
        <v>143.5</v>
      </c>
      <c r="S17" s="33" t="s">
        <v>55</v>
      </c>
      <c r="T17" s="10"/>
    </row>
    <row r="18" spans="2:20" ht="15.75" x14ac:dyDescent="0.25">
      <c r="B18" s="262" t="s">
        <v>44</v>
      </c>
      <c r="G18" s="263">
        <v>143.5</v>
      </c>
      <c r="H18" s="267" t="s">
        <v>59</v>
      </c>
      <c r="J18" s="10"/>
      <c r="K18" s="3"/>
      <c r="L18" s="91" t="s">
        <v>75</v>
      </c>
      <c r="M18" s="93"/>
      <c r="N18" s="93"/>
      <c r="P18" s="258" t="s">
        <v>14</v>
      </c>
      <c r="Q18" s="264">
        <f>Q17+Q16</f>
        <v>197.4</v>
      </c>
      <c r="R18" s="264">
        <f>Q16+R17</f>
        <v>169.5</v>
      </c>
      <c r="S18" s="33" t="s">
        <v>55</v>
      </c>
      <c r="T18" s="10"/>
    </row>
    <row r="19" spans="2:20" ht="18" x14ac:dyDescent="0.25">
      <c r="B19" s="91" t="s">
        <v>66</v>
      </c>
      <c r="E19" s="43"/>
      <c r="G19" s="6"/>
      <c r="H19" s="6"/>
      <c r="J19" s="10"/>
      <c r="K19" s="3"/>
      <c r="L19" s="45" t="s">
        <v>29</v>
      </c>
      <c r="M19" s="118"/>
      <c r="N19" s="48"/>
      <c r="O19" s="46"/>
      <c r="P19" s="46"/>
      <c r="Q19" s="47">
        <v>2.5000000000000001E-2</v>
      </c>
      <c r="R19" s="47"/>
      <c r="T19" s="10"/>
    </row>
    <row r="20" spans="2:20" ht="16.5" thickBot="1" x14ac:dyDescent="0.3">
      <c r="B20" s="54"/>
      <c r="C20" s="7"/>
      <c r="D20" s="7"/>
      <c r="E20" s="258" t="s">
        <v>36</v>
      </c>
      <c r="F20" s="22"/>
      <c r="G20" s="264">
        <f>G16+G17</f>
        <v>200.4</v>
      </c>
      <c r="H20" s="264">
        <f>G16+G18</f>
        <v>172.5</v>
      </c>
      <c r="I20" s="103" t="s">
        <v>55</v>
      </c>
      <c r="J20" s="302"/>
      <c r="K20" s="3"/>
      <c r="L20" s="36" t="s">
        <v>16</v>
      </c>
      <c r="M20" s="37"/>
      <c r="N20" s="37"/>
      <c r="O20" s="37"/>
      <c r="P20" s="37"/>
      <c r="Q20" s="38">
        <v>22</v>
      </c>
      <c r="R20" s="38"/>
      <c r="S20" s="12"/>
      <c r="T20" s="13"/>
    </row>
    <row r="21" spans="2:20" ht="17.25" thickTop="1" thickBot="1" x14ac:dyDescent="0.3">
      <c r="B21" s="261" t="s">
        <v>51</v>
      </c>
      <c r="C21" s="61"/>
      <c r="D21" s="59"/>
      <c r="E21" s="60"/>
      <c r="F21" s="59"/>
      <c r="G21" s="60"/>
      <c r="H21" s="59"/>
      <c r="I21" s="60"/>
      <c r="K21" s="3"/>
      <c r="L21" s="101" t="s">
        <v>22</v>
      </c>
      <c r="M21" s="79"/>
      <c r="N21" s="79"/>
      <c r="O21" s="79"/>
      <c r="P21" s="79"/>
      <c r="Q21" s="79"/>
      <c r="R21" s="79"/>
      <c r="S21" s="79"/>
    </row>
    <row r="22" spans="2:20" ht="17.25" thickTop="1" thickBot="1" x14ac:dyDescent="0.3">
      <c r="B22" s="173" t="s">
        <v>25</v>
      </c>
      <c r="C22" s="26"/>
      <c r="D22" s="71"/>
      <c r="E22" s="72"/>
      <c r="F22" s="71"/>
      <c r="G22" s="73"/>
      <c r="H22" s="71"/>
      <c r="I22" s="72"/>
      <c r="J22" s="74"/>
      <c r="K22" s="3"/>
      <c r="L22" s="119" t="s">
        <v>25</v>
      </c>
      <c r="Q22" s="7"/>
      <c r="R22" s="7"/>
      <c r="S22" s="15"/>
      <c r="T22" s="16"/>
    </row>
    <row r="23" spans="2:20" ht="15.75" x14ac:dyDescent="0.25">
      <c r="B23" s="91" t="s">
        <v>6</v>
      </c>
      <c r="C23" s="70">
        <v>3</v>
      </c>
      <c r="D23" s="178"/>
      <c r="E23" s="86"/>
      <c r="F23" s="181"/>
      <c r="G23" s="86"/>
      <c r="H23" s="181"/>
      <c r="I23" s="136"/>
      <c r="J23" s="75"/>
      <c r="K23" s="3"/>
      <c r="L23" s="91" t="s">
        <v>6</v>
      </c>
      <c r="M23" s="70">
        <v>2.5</v>
      </c>
      <c r="N23" s="141"/>
      <c r="O23" s="136"/>
      <c r="P23" s="146"/>
      <c r="Q23" s="136"/>
      <c r="R23" s="146"/>
      <c r="S23" s="149"/>
      <c r="T23" s="104"/>
    </row>
    <row r="24" spans="2:20" x14ac:dyDescent="0.2">
      <c r="B24" s="91" t="s">
        <v>4</v>
      </c>
      <c r="C24" s="62">
        <v>140</v>
      </c>
      <c r="D24" s="179"/>
      <c r="E24" s="182"/>
      <c r="F24" s="183"/>
      <c r="G24" s="182"/>
      <c r="H24" s="183"/>
      <c r="I24" s="137"/>
      <c r="J24" s="53"/>
      <c r="K24" s="3"/>
      <c r="L24" s="91" t="s">
        <v>4</v>
      </c>
      <c r="M24" s="62">
        <v>140</v>
      </c>
      <c r="N24" s="142"/>
      <c r="O24" s="137"/>
      <c r="P24" s="147"/>
      <c r="Q24" s="137"/>
      <c r="R24" s="147"/>
      <c r="S24" s="150"/>
      <c r="T24" s="105"/>
    </row>
    <row r="25" spans="2:20" x14ac:dyDescent="0.2">
      <c r="B25" s="91" t="s">
        <v>5</v>
      </c>
      <c r="C25" s="62">
        <v>4</v>
      </c>
      <c r="D25" s="179"/>
      <c r="E25" s="182"/>
      <c r="F25" s="183"/>
      <c r="G25" s="182"/>
      <c r="H25" s="183"/>
      <c r="I25" s="137"/>
      <c r="J25" s="53"/>
      <c r="K25" s="3"/>
      <c r="L25" s="91" t="s">
        <v>5</v>
      </c>
      <c r="M25" s="62">
        <v>4</v>
      </c>
      <c r="N25" s="142"/>
      <c r="O25" s="137"/>
      <c r="P25" s="147"/>
      <c r="Q25" s="137"/>
      <c r="R25" s="147"/>
      <c r="S25" s="150"/>
      <c r="T25" s="105"/>
    </row>
    <row r="26" spans="2:20" ht="15" x14ac:dyDescent="0.2">
      <c r="B26" s="174" t="s">
        <v>15</v>
      </c>
      <c r="C26" s="175">
        <v>0.1</v>
      </c>
      <c r="D26" s="180"/>
      <c r="E26" s="184">
        <v>0.2</v>
      </c>
      <c r="F26" s="185"/>
      <c r="G26" s="184">
        <v>0.3</v>
      </c>
      <c r="H26" s="185"/>
      <c r="I26" s="186">
        <v>0.4</v>
      </c>
      <c r="J26" s="55"/>
      <c r="K26" s="4"/>
      <c r="L26" s="159" t="s">
        <v>15</v>
      </c>
      <c r="M26" s="134">
        <v>0.1</v>
      </c>
      <c r="N26" s="143"/>
      <c r="O26" s="138">
        <v>0.2</v>
      </c>
      <c r="P26" s="148"/>
      <c r="Q26" s="138">
        <v>0.3</v>
      </c>
      <c r="R26" s="148"/>
      <c r="S26" s="151">
        <v>0.4</v>
      </c>
      <c r="T26" s="106"/>
    </row>
    <row r="27" spans="2:20" ht="19.5" thickBot="1" x14ac:dyDescent="0.3">
      <c r="B27" s="260" t="s">
        <v>50</v>
      </c>
      <c r="C27" s="188">
        <f>$C$23*$C$24*$C$25*C26</f>
        <v>168</v>
      </c>
      <c r="D27" s="189">
        <f>$C$23*$C$24*$C$25*$C26/($C$24*$C$25)</f>
        <v>0.3</v>
      </c>
      <c r="E27" s="188">
        <f>$C$23*$C$24*$C$25*E26</f>
        <v>336</v>
      </c>
      <c r="F27" s="189">
        <f>$C$23*$C$24*$C$25*E$26/($C$24*$C$25)</f>
        <v>0.6</v>
      </c>
      <c r="G27" s="188">
        <f>$C$23*$C$24*$C$25*G26</f>
        <v>504</v>
      </c>
      <c r="H27" s="189">
        <f>$C$23*$C$24*$C$25*G$26/($C$24*$C$25)</f>
        <v>0.9</v>
      </c>
      <c r="I27" s="190">
        <f>$C$23*$C$24*$C$25*I26</f>
        <v>672</v>
      </c>
      <c r="J27" s="191">
        <f>$C$23*$C$24*$C$25*I$26/($C$24*$C$25)</f>
        <v>1.2</v>
      </c>
      <c r="K27" s="3"/>
      <c r="L27" s="20" t="s">
        <v>70</v>
      </c>
      <c r="M27" s="58">
        <f>$M$23*$M$24*$M$25*M26</f>
        <v>140</v>
      </c>
      <c r="N27" s="144">
        <f>M27/($M$24*$M$25)</f>
        <v>0.25</v>
      </c>
      <c r="O27" s="139">
        <f>$M$23*$M$24*$M$25*O26</f>
        <v>280</v>
      </c>
      <c r="P27" s="144">
        <f>O27/($M$24*$M$25)</f>
        <v>0.5</v>
      </c>
      <c r="Q27" s="139">
        <f>$M$23*$M$24*$M$25*Q26</f>
        <v>420</v>
      </c>
      <c r="R27" s="144">
        <f>Q27/($M$24*$M$25)</f>
        <v>0.75</v>
      </c>
      <c r="S27" s="152">
        <f>$M$23*$M$24*$M$25*S26</f>
        <v>560</v>
      </c>
      <c r="T27" s="107">
        <f>S27/($M$24*$M$25)</f>
        <v>1</v>
      </c>
    </row>
    <row r="28" spans="2:20" ht="17.25" thickTop="1" thickBot="1" x14ac:dyDescent="0.3">
      <c r="B28" s="176" t="s">
        <v>26</v>
      </c>
      <c r="C28" s="6"/>
      <c r="D28" s="199"/>
      <c r="E28" s="49"/>
      <c r="F28" s="199"/>
      <c r="G28" s="69"/>
      <c r="H28" s="199"/>
      <c r="I28" s="69"/>
      <c r="K28" s="3"/>
      <c r="L28" s="120" t="s">
        <v>26</v>
      </c>
      <c r="M28" s="160"/>
      <c r="N28" s="135"/>
      <c r="O28" s="26"/>
      <c r="P28" s="129"/>
      <c r="Q28" s="27"/>
      <c r="R28" s="153"/>
      <c r="S28" s="27"/>
      <c r="T28" s="108"/>
    </row>
    <row r="29" spans="2:20" ht="15.75" x14ac:dyDescent="0.25">
      <c r="B29" s="91" t="s">
        <v>6</v>
      </c>
      <c r="C29" s="70">
        <f>C23</f>
        <v>3</v>
      </c>
      <c r="D29" s="193"/>
      <c r="E29" s="136"/>
      <c r="F29" s="196"/>
      <c r="G29" s="136"/>
      <c r="H29" s="196"/>
      <c r="I29" s="136"/>
      <c r="J29" s="303"/>
      <c r="K29" s="3"/>
      <c r="L29" s="91" t="s">
        <v>6</v>
      </c>
      <c r="M29" s="70">
        <f>M23</f>
        <v>2.5</v>
      </c>
      <c r="N29" s="141"/>
      <c r="O29" s="136"/>
      <c r="P29" s="146"/>
      <c r="Q29" s="136"/>
      <c r="R29" s="146"/>
      <c r="S29" s="136"/>
      <c r="T29" s="104"/>
    </row>
    <row r="30" spans="2:20" x14ac:dyDescent="0.2">
      <c r="B30" s="91" t="s">
        <v>4</v>
      </c>
      <c r="C30" s="62">
        <v>200</v>
      </c>
      <c r="D30" s="194"/>
      <c r="E30" s="137"/>
      <c r="F30" s="197"/>
      <c r="G30" s="137"/>
      <c r="H30" s="197"/>
      <c r="I30" s="137"/>
      <c r="J30" s="56"/>
      <c r="K30" s="3"/>
      <c r="L30" s="91" t="s">
        <v>4</v>
      </c>
      <c r="M30" s="62">
        <v>200</v>
      </c>
      <c r="N30" s="145"/>
      <c r="O30" s="137"/>
      <c r="P30" s="147"/>
      <c r="Q30" s="137"/>
      <c r="R30" s="147"/>
      <c r="S30" s="137"/>
      <c r="T30" s="105"/>
    </row>
    <row r="31" spans="2:20" x14ac:dyDescent="0.2">
      <c r="B31" s="91" t="s">
        <v>5</v>
      </c>
      <c r="C31" s="62">
        <v>4</v>
      </c>
      <c r="D31" s="194"/>
      <c r="E31" s="137"/>
      <c r="F31" s="197"/>
      <c r="G31" s="137"/>
      <c r="H31" s="197"/>
      <c r="I31" s="137"/>
      <c r="J31" s="56"/>
      <c r="K31" s="3"/>
      <c r="L31" s="91" t="s">
        <v>5</v>
      </c>
      <c r="M31" s="62">
        <v>4</v>
      </c>
      <c r="N31" s="145"/>
      <c r="O31" s="137"/>
      <c r="P31" s="147"/>
      <c r="Q31" s="137"/>
      <c r="R31" s="147"/>
      <c r="S31" s="137"/>
      <c r="T31" s="105"/>
    </row>
    <row r="32" spans="2:20" ht="15" x14ac:dyDescent="0.2">
      <c r="B32" s="174" t="s">
        <v>15</v>
      </c>
      <c r="C32" s="177">
        <v>0.1</v>
      </c>
      <c r="D32" s="195"/>
      <c r="E32" s="192">
        <v>0.2</v>
      </c>
      <c r="F32" s="198"/>
      <c r="G32" s="192">
        <v>0.3</v>
      </c>
      <c r="H32" s="198"/>
      <c r="I32" s="192">
        <v>0.4</v>
      </c>
      <c r="J32" s="56"/>
      <c r="K32" s="4"/>
      <c r="L32" s="159" t="s">
        <v>15</v>
      </c>
      <c r="M32" s="134">
        <v>0.1</v>
      </c>
      <c r="N32" s="143"/>
      <c r="O32" s="138">
        <v>0.2</v>
      </c>
      <c r="P32" s="148"/>
      <c r="Q32" s="138">
        <v>0.3</v>
      </c>
      <c r="R32" s="148"/>
      <c r="S32" s="138">
        <v>0.4</v>
      </c>
      <c r="T32" s="106"/>
    </row>
    <row r="33" spans="2:22" ht="19.5" thickBot="1" x14ac:dyDescent="0.3">
      <c r="B33" s="260" t="s">
        <v>49</v>
      </c>
      <c r="C33" s="202">
        <f>$C$29*$C$30*$C$31*C32</f>
        <v>240</v>
      </c>
      <c r="D33" s="203">
        <f>$C$29*$C$30*$C$31*C$32/($C$30*$C$31)</f>
        <v>0.3</v>
      </c>
      <c r="E33" s="205">
        <f>$C$29*$C$30*$C$31*E32</f>
        <v>480</v>
      </c>
      <c r="F33" s="203">
        <f>$C$29*$C$30*$C$31*E$32/($C$30*$C$31)</f>
        <v>0.6</v>
      </c>
      <c r="G33" s="205">
        <f>$C$29*$C$30*$C$31*G32</f>
        <v>720</v>
      </c>
      <c r="H33" s="203">
        <f>$C$29*$C$30*$C$31*G$32/($C$30*$C$31)</f>
        <v>0.9</v>
      </c>
      <c r="I33" s="205">
        <f>$C$29*$C$30*$C$31*I32</f>
        <v>960</v>
      </c>
      <c r="J33" s="206">
        <f>$C$29*$C$30*$C$31*I$32/($C$30*$C$31)</f>
        <v>1.2</v>
      </c>
      <c r="K33" s="4"/>
      <c r="L33" s="23"/>
      <c r="M33" s="57"/>
      <c r="N33" s="143"/>
      <c r="O33" s="140"/>
      <c r="P33" s="148"/>
      <c r="Q33" s="140"/>
      <c r="R33" s="148"/>
      <c r="S33" s="140"/>
      <c r="T33" s="106"/>
    </row>
    <row r="34" spans="2:22" ht="20.25" thickTop="1" thickBot="1" x14ac:dyDescent="0.3">
      <c r="B34" s="19" t="s">
        <v>23</v>
      </c>
      <c r="C34" s="209">
        <f>(C24+C30)*C31</f>
        <v>1360</v>
      </c>
      <c r="D34" s="210"/>
      <c r="E34" s="211"/>
      <c r="F34" s="210"/>
      <c r="G34" s="211"/>
      <c r="H34" s="210"/>
      <c r="I34" s="208"/>
      <c r="J34" s="207"/>
      <c r="K34" s="3"/>
      <c r="L34" s="20" t="s">
        <v>68</v>
      </c>
      <c r="M34" s="58">
        <f>$M$29*$M$30*$M$31*M$32</f>
        <v>200</v>
      </c>
      <c r="N34" s="144">
        <f>M34/($M$30*$M$31)</f>
        <v>0.25</v>
      </c>
      <c r="O34" s="139">
        <f>$M$29*$M$30*$M$31*O32</f>
        <v>400</v>
      </c>
      <c r="P34" s="144">
        <f>O34/($M$30*$M$31)</f>
        <v>0.5</v>
      </c>
      <c r="Q34" s="139">
        <f>$M$29*$M$30*$M$31*Q32</f>
        <v>600</v>
      </c>
      <c r="R34" s="144">
        <f>Q34/($M$30*$M$31)</f>
        <v>0.75</v>
      </c>
      <c r="S34" s="139">
        <f>$M$29*$M$30*$M$31*S32</f>
        <v>800</v>
      </c>
      <c r="T34" s="107">
        <f>S34/($M$30*$M$31)</f>
        <v>1</v>
      </c>
    </row>
    <row r="35" spans="2:22" ht="19.5" thickBot="1" x14ac:dyDescent="0.3">
      <c r="B35" s="187" t="s">
        <v>32</v>
      </c>
      <c r="C35" s="212">
        <f>C27+C33</f>
        <v>408</v>
      </c>
      <c r="D35" s="213"/>
      <c r="E35" s="212">
        <f>E27+E33</f>
        <v>816</v>
      </c>
      <c r="F35" s="213"/>
      <c r="G35" s="212">
        <f>G27+G33</f>
        <v>1224</v>
      </c>
      <c r="H35" s="213"/>
      <c r="I35" s="204">
        <f>I27+I33</f>
        <v>1632</v>
      </c>
      <c r="J35" s="214"/>
      <c r="K35" s="3"/>
      <c r="L35" s="77" t="s">
        <v>23</v>
      </c>
      <c r="M35" s="128">
        <f>$M$24*$M$25+$M$30*$M$31</f>
        <v>1360</v>
      </c>
      <c r="N35" s="129"/>
      <c r="P35" s="129"/>
      <c r="R35" s="129"/>
      <c r="T35" s="10"/>
    </row>
    <row r="36" spans="2:22" ht="17.25" thickTop="1" thickBot="1" x14ac:dyDescent="0.3">
      <c r="B36" s="78"/>
      <c r="C36" s="79"/>
      <c r="D36" s="79"/>
      <c r="E36" s="79"/>
      <c r="F36" s="79"/>
      <c r="G36" s="79"/>
      <c r="H36" s="79"/>
      <c r="I36" s="79"/>
      <c r="J36" s="76"/>
      <c r="K36" s="3"/>
      <c r="L36" s="260" t="s">
        <v>76</v>
      </c>
      <c r="M36" s="130">
        <f>M27+M34</f>
        <v>340</v>
      </c>
      <c r="N36" s="131"/>
      <c r="O36" s="52">
        <f>O27+O34</f>
        <v>680</v>
      </c>
      <c r="P36" s="131"/>
      <c r="Q36" s="52">
        <f>Q27+Q34</f>
        <v>1020</v>
      </c>
      <c r="R36" s="131"/>
      <c r="S36" s="52">
        <f>S27+S34</f>
        <v>1360</v>
      </c>
      <c r="T36" s="28"/>
      <c r="V36" s="18"/>
    </row>
    <row r="37" spans="2:22" ht="20.25" thickTop="1" thickBot="1" x14ac:dyDescent="0.3">
      <c r="B37" s="19" t="s">
        <v>48</v>
      </c>
      <c r="C37" s="215"/>
      <c r="D37" s="244"/>
      <c r="E37" s="246"/>
      <c r="F37" s="247"/>
      <c r="G37" s="246"/>
      <c r="H37" s="247"/>
      <c r="I37" s="246"/>
      <c r="J37" s="245"/>
      <c r="K37" s="3"/>
      <c r="L37" s="19" t="s">
        <v>60</v>
      </c>
      <c r="M37" s="264"/>
      <c r="N37" s="277"/>
      <c r="P37" s="132"/>
      <c r="Q37" s="8"/>
      <c r="R37" s="133"/>
      <c r="S37" s="8"/>
      <c r="T37" s="109"/>
    </row>
    <row r="38" spans="2:22" ht="16.5" thickBot="1" x14ac:dyDescent="0.3">
      <c r="B38" s="224" t="s">
        <v>34</v>
      </c>
      <c r="C38" s="240" t="s">
        <v>33</v>
      </c>
      <c r="D38" s="241" t="s">
        <v>24</v>
      </c>
      <c r="E38" s="243" t="s">
        <v>33</v>
      </c>
      <c r="F38" s="241" t="s">
        <v>24</v>
      </c>
      <c r="G38" s="243" t="s">
        <v>33</v>
      </c>
      <c r="H38" s="241" t="s">
        <v>24</v>
      </c>
      <c r="I38" s="243" t="s">
        <v>33</v>
      </c>
      <c r="J38" s="242" t="s">
        <v>24</v>
      </c>
      <c r="K38" s="3"/>
      <c r="L38" s="255" t="s">
        <v>10</v>
      </c>
      <c r="M38" s="121" t="s">
        <v>30</v>
      </c>
      <c r="N38" s="161" t="s">
        <v>27</v>
      </c>
      <c r="O38" s="127" t="s">
        <v>30</v>
      </c>
      <c r="P38" s="161" t="s">
        <v>27</v>
      </c>
      <c r="Q38" s="127" t="s">
        <v>30</v>
      </c>
      <c r="R38" s="161" t="s">
        <v>27</v>
      </c>
      <c r="S38" s="121" t="s">
        <v>30</v>
      </c>
      <c r="T38" s="162" t="s">
        <v>27</v>
      </c>
    </row>
    <row r="39" spans="2:22" x14ac:dyDescent="0.2">
      <c r="B39" s="34">
        <v>1.4999999999999999E-2</v>
      </c>
      <c r="C39" s="226">
        <f>C$35*$G$8*$B39</f>
        <v>3.9779999999999998</v>
      </c>
      <c r="D39" s="227">
        <f>C39/$C$34</f>
        <v>2.9249999999999996E-3</v>
      </c>
      <c r="E39" s="226">
        <f>E$35*$G$8*$B39</f>
        <v>7.9559999999999995</v>
      </c>
      <c r="F39" s="227">
        <f>E39/$C$34</f>
        <v>5.8499999999999993E-3</v>
      </c>
      <c r="G39" s="226">
        <f>G$35*$G$8*$B39</f>
        <v>11.933999999999999</v>
      </c>
      <c r="H39" s="227">
        <f t="shared" ref="H39:H47" si="0">G39/$C$34</f>
        <v>8.7749999999999998E-3</v>
      </c>
      <c r="I39" s="226">
        <f>I$35*$G$8*$B39</f>
        <v>15.911999999999999</v>
      </c>
      <c r="J39" s="228">
        <f t="shared" ref="J39:J47" si="1">I39/$C$34</f>
        <v>1.1699999999999999E-2</v>
      </c>
      <c r="K39" s="3"/>
      <c r="L39" s="275">
        <v>5</v>
      </c>
      <c r="M39" s="114">
        <f>M$36*$L39/$Q$10</f>
        <v>54.65626916666757</v>
      </c>
      <c r="N39" s="125">
        <f>M39/$M$35</f>
        <v>4.0188433210784975E-2</v>
      </c>
      <c r="O39" s="114">
        <f t="shared" ref="O39:O47" si="2">O$36*$L39/$Q$10</f>
        <v>109.31253833333514</v>
      </c>
      <c r="P39" s="125">
        <f>O39/$M$35</f>
        <v>8.0376866421569951E-2</v>
      </c>
      <c r="Q39" s="114">
        <f>Q$36*$L39/$Q$10</f>
        <v>163.9688075000027</v>
      </c>
      <c r="R39" s="125">
        <f>Q39/$M$35</f>
        <v>0.12056529963235492</v>
      </c>
      <c r="S39" s="122">
        <f>S$36*$L39/$Q$10</f>
        <v>218.62507666667028</v>
      </c>
      <c r="T39" s="115">
        <f>S39/$M$35</f>
        <v>0.1607537328431399</v>
      </c>
    </row>
    <row r="40" spans="2:22" ht="15.75" x14ac:dyDescent="0.25">
      <c r="B40" s="34">
        <v>0.02</v>
      </c>
      <c r="C40" s="81">
        <f t="shared" ref="C40:C47" si="3">C$35*$G$8*$B40</f>
        <v>5.3040000000000003</v>
      </c>
      <c r="D40" s="67">
        <f>C40/$C$34</f>
        <v>3.9000000000000003E-3</v>
      </c>
      <c r="E40" s="81">
        <f t="shared" ref="E40:E47" si="4">E$35*$G$8*$B40</f>
        <v>10.608000000000001</v>
      </c>
      <c r="F40" s="67">
        <f t="shared" ref="F40:F47" si="5">E40/$C$34</f>
        <v>7.8000000000000005E-3</v>
      </c>
      <c r="G40" s="81">
        <f t="shared" ref="G40:G47" si="6">G$35*$G$8*$B40</f>
        <v>15.912000000000001</v>
      </c>
      <c r="H40" s="67">
        <f t="shared" si="0"/>
        <v>1.17E-2</v>
      </c>
      <c r="I40" s="81">
        <f t="shared" ref="I40:I47" si="7">I$35*$G$8*$B40</f>
        <v>21.216000000000001</v>
      </c>
      <c r="J40" s="82">
        <f t="shared" si="1"/>
        <v>1.5600000000000001E-2</v>
      </c>
      <c r="K40" s="3"/>
      <c r="L40" s="275">
        <v>10</v>
      </c>
      <c r="M40" s="111">
        <f t="shared" ref="M40:M47" si="8">M$36*$L40/$Q$10</f>
        <v>109.31253833333514</v>
      </c>
      <c r="N40" s="126">
        <f t="shared" ref="N40:N47" si="9">M40/$M$35</f>
        <v>8.0376866421569951E-2</v>
      </c>
      <c r="O40" s="111">
        <f t="shared" si="2"/>
        <v>218.62507666667028</v>
      </c>
      <c r="P40" s="126">
        <f t="shared" ref="P40:P46" si="10">O40/$M$35</f>
        <v>0.1607537328431399</v>
      </c>
      <c r="Q40" s="111">
        <f t="shared" ref="Q40:Q47" si="11">Q$36*$L40/$Q$10</f>
        <v>327.93761500000539</v>
      </c>
      <c r="R40" s="126">
        <f t="shared" ref="R40:R47" si="12">Q40/$M$35</f>
        <v>0.24113059926470984</v>
      </c>
      <c r="S40" s="123">
        <f t="shared" ref="S40:S47" si="13">S$36*$L40/$Q$10</f>
        <v>437.25015333334056</v>
      </c>
      <c r="T40" s="112">
        <f t="shared" ref="T40:T47" si="14">S40/$M$35</f>
        <v>0.3215074656862798</v>
      </c>
      <c r="V40" s="1"/>
    </row>
    <row r="41" spans="2:22" x14ac:dyDescent="0.2">
      <c r="B41" s="34">
        <v>2.5000000000000001E-2</v>
      </c>
      <c r="C41" s="81">
        <f t="shared" si="3"/>
        <v>6.63</v>
      </c>
      <c r="D41" s="67">
        <f t="shared" ref="D41:D47" si="15">C41/$C$34</f>
        <v>4.875E-3</v>
      </c>
      <c r="E41" s="81">
        <f t="shared" si="4"/>
        <v>13.26</v>
      </c>
      <c r="F41" s="67">
        <f t="shared" si="5"/>
        <v>9.75E-3</v>
      </c>
      <c r="G41" s="81">
        <f t="shared" si="6"/>
        <v>19.89</v>
      </c>
      <c r="H41" s="67">
        <f t="shared" si="0"/>
        <v>1.4625000000000001E-2</v>
      </c>
      <c r="I41" s="81">
        <f t="shared" si="7"/>
        <v>26.52</v>
      </c>
      <c r="J41" s="82">
        <f t="shared" si="1"/>
        <v>1.95E-2</v>
      </c>
      <c r="K41" s="3"/>
      <c r="L41" s="275">
        <v>15</v>
      </c>
      <c r="M41" s="111">
        <f t="shared" si="8"/>
        <v>163.9688075000027</v>
      </c>
      <c r="N41" s="126">
        <f t="shared" si="9"/>
        <v>0.12056529963235492</v>
      </c>
      <c r="O41" s="111">
        <f t="shared" si="2"/>
        <v>327.93761500000539</v>
      </c>
      <c r="P41" s="126">
        <f t="shared" si="10"/>
        <v>0.24113059926470984</v>
      </c>
      <c r="Q41" s="111">
        <f t="shared" si="11"/>
        <v>491.90642250000809</v>
      </c>
      <c r="R41" s="126">
        <f t="shared" si="12"/>
        <v>0.36169589889706477</v>
      </c>
      <c r="S41" s="123">
        <f t="shared" si="13"/>
        <v>655.87523000001079</v>
      </c>
      <c r="T41" s="112">
        <f t="shared" si="14"/>
        <v>0.48226119852941968</v>
      </c>
    </row>
    <row r="42" spans="2:22" x14ac:dyDescent="0.2">
      <c r="B42" s="34">
        <v>0.03</v>
      </c>
      <c r="C42" s="81">
        <f t="shared" si="3"/>
        <v>7.9559999999999995</v>
      </c>
      <c r="D42" s="67">
        <f t="shared" si="15"/>
        <v>5.8499999999999993E-3</v>
      </c>
      <c r="E42" s="81">
        <f t="shared" si="4"/>
        <v>15.911999999999999</v>
      </c>
      <c r="F42" s="67">
        <f t="shared" si="5"/>
        <v>1.1699999999999999E-2</v>
      </c>
      <c r="G42" s="81">
        <f t="shared" si="6"/>
        <v>23.867999999999999</v>
      </c>
      <c r="H42" s="67">
        <f t="shared" si="0"/>
        <v>1.755E-2</v>
      </c>
      <c r="I42" s="81">
        <f t="shared" si="7"/>
        <v>31.823999999999998</v>
      </c>
      <c r="J42" s="82">
        <f t="shared" si="1"/>
        <v>2.3399999999999997E-2</v>
      </c>
      <c r="K42" s="3"/>
      <c r="L42" s="275">
        <v>20</v>
      </c>
      <c r="M42" s="111">
        <f t="shared" si="8"/>
        <v>218.62507666667028</v>
      </c>
      <c r="N42" s="126">
        <f t="shared" si="9"/>
        <v>0.1607537328431399</v>
      </c>
      <c r="O42" s="111">
        <f t="shared" si="2"/>
        <v>437.25015333334056</v>
      </c>
      <c r="P42" s="126">
        <f t="shared" si="10"/>
        <v>0.3215074656862798</v>
      </c>
      <c r="Q42" s="111">
        <f t="shared" si="11"/>
        <v>655.87523000001079</v>
      </c>
      <c r="R42" s="126">
        <f t="shared" si="12"/>
        <v>0.48226119852941968</v>
      </c>
      <c r="S42" s="123">
        <f t="shared" si="13"/>
        <v>874.50030666668113</v>
      </c>
      <c r="T42" s="112">
        <f t="shared" si="14"/>
        <v>0.64301493137255961</v>
      </c>
    </row>
    <row r="43" spans="2:22" x14ac:dyDescent="0.2">
      <c r="B43" s="34">
        <v>3.5000000000000003E-2</v>
      </c>
      <c r="C43" s="81">
        <f t="shared" si="3"/>
        <v>9.282</v>
      </c>
      <c r="D43" s="67">
        <f t="shared" si="15"/>
        <v>6.8250000000000003E-3</v>
      </c>
      <c r="E43" s="81">
        <f t="shared" si="4"/>
        <v>18.564</v>
      </c>
      <c r="F43" s="67">
        <f t="shared" si="5"/>
        <v>1.3650000000000001E-2</v>
      </c>
      <c r="G43" s="81">
        <f t="shared" si="6"/>
        <v>27.846000000000004</v>
      </c>
      <c r="H43" s="67">
        <f t="shared" si="0"/>
        <v>2.0475000000000004E-2</v>
      </c>
      <c r="I43" s="81">
        <f t="shared" si="7"/>
        <v>37.128</v>
      </c>
      <c r="J43" s="82">
        <f t="shared" si="1"/>
        <v>2.7300000000000001E-2</v>
      </c>
      <c r="K43" s="3"/>
      <c r="L43" s="275">
        <v>25</v>
      </c>
      <c r="M43" s="111">
        <f t="shared" si="8"/>
        <v>273.28134583333787</v>
      </c>
      <c r="N43" s="126">
        <f t="shared" si="9"/>
        <v>0.2009421660539249</v>
      </c>
      <c r="O43" s="111">
        <f t="shared" si="2"/>
        <v>546.56269166667573</v>
      </c>
      <c r="P43" s="126">
        <f t="shared" si="10"/>
        <v>0.4018843321078498</v>
      </c>
      <c r="Q43" s="111">
        <f t="shared" si="11"/>
        <v>819.84403750001354</v>
      </c>
      <c r="R43" s="126">
        <f t="shared" si="12"/>
        <v>0.60282649816177469</v>
      </c>
      <c r="S43" s="123">
        <f t="shared" si="13"/>
        <v>1093.1253833333515</v>
      </c>
      <c r="T43" s="112">
        <f t="shared" si="14"/>
        <v>0.80376866421569959</v>
      </c>
    </row>
    <row r="44" spans="2:22" x14ac:dyDescent="0.2">
      <c r="B44" s="34">
        <v>0.04</v>
      </c>
      <c r="C44" s="81">
        <f t="shared" si="3"/>
        <v>10.608000000000001</v>
      </c>
      <c r="D44" s="67">
        <f t="shared" si="15"/>
        <v>7.8000000000000005E-3</v>
      </c>
      <c r="E44" s="81">
        <f t="shared" si="4"/>
        <v>21.216000000000001</v>
      </c>
      <c r="F44" s="67">
        <f t="shared" si="5"/>
        <v>1.5600000000000001E-2</v>
      </c>
      <c r="G44" s="81">
        <f t="shared" si="6"/>
        <v>31.824000000000002</v>
      </c>
      <c r="H44" s="67">
        <f t="shared" si="0"/>
        <v>2.3400000000000001E-2</v>
      </c>
      <c r="I44" s="81">
        <f t="shared" si="7"/>
        <v>42.432000000000002</v>
      </c>
      <c r="J44" s="82">
        <f t="shared" si="1"/>
        <v>3.1200000000000002E-2</v>
      </c>
      <c r="K44" s="3"/>
      <c r="L44" s="275">
        <v>30</v>
      </c>
      <c r="M44" s="111">
        <f t="shared" si="8"/>
        <v>327.93761500000539</v>
      </c>
      <c r="N44" s="126">
        <f t="shared" si="9"/>
        <v>0.24113059926470984</v>
      </c>
      <c r="O44" s="111">
        <f t="shared" si="2"/>
        <v>655.87523000001079</v>
      </c>
      <c r="P44" s="126">
        <f t="shared" si="10"/>
        <v>0.48226119852941968</v>
      </c>
      <c r="Q44" s="111">
        <f t="shared" si="11"/>
        <v>983.81284500001618</v>
      </c>
      <c r="R44" s="126">
        <f t="shared" si="12"/>
        <v>0.72339179779412954</v>
      </c>
      <c r="S44" s="123">
        <f t="shared" si="13"/>
        <v>1311.7504600000216</v>
      </c>
      <c r="T44" s="112">
        <f t="shared" si="14"/>
        <v>0.96452239705883935</v>
      </c>
    </row>
    <row r="45" spans="2:22" x14ac:dyDescent="0.2">
      <c r="B45" s="34">
        <v>4.4999999999999998E-2</v>
      </c>
      <c r="C45" s="81">
        <f t="shared" si="3"/>
        <v>11.933999999999999</v>
      </c>
      <c r="D45" s="67">
        <f t="shared" si="15"/>
        <v>8.7749999999999998E-3</v>
      </c>
      <c r="E45" s="81">
        <f t="shared" si="4"/>
        <v>23.867999999999999</v>
      </c>
      <c r="F45" s="67">
        <f t="shared" si="5"/>
        <v>1.755E-2</v>
      </c>
      <c r="G45" s="81">
        <f t="shared" si="6"/>
        <v>35.802</v>
      </c>
      <c r="H45" s="67">
        <f t="shared" si="0"/>
        <v>2.6325000000000001E-2</v>
      </c>
      <c r="I45" s="81">
        <f t="shared" si="7"/>
        <v>47.735999999999997</v>
      </c>
      <c r="J45" s="82">
        <f t="shared" si="1"/>
        <v>3.5099999999999999E-2</v>
      </c>
      <c r="K45" s="3"/>
      <c r="L45" s="275">
        <v>35</v>
      </c>
      <c r="M45" s="111">
        <f t="shared" si="8"/>
        <v>382.59388416667298</v>
      </c>
      <c r="N45" s="126">
        <f t="shared" si="9"/>
        <v>0.28131903247549483</v>
      </c>
      <c r="O45" s="111">
        <f>O$36*$L45/$Q$10</f>
        <v>765.18776833334596</v>
      </c>
      <c r="P45" s="126">
        <f t="shared" si="10"/>
        <v>0.56263806495098967</v>
      </c>
      <c r="Q45" s="111">
        <f t="shared" si="11"/>
        <v>1147.7816525000189</v>
      </c>
      <c r="R45" s="126">
        <f t="shared" si="12"/>
        <v>0.8439570974264845</v>
      </c>
      <c r="S45" s="123">
        <f t="shared" si="13"/>
        <v>1530.3755366666919</v>
      </c>
      <c r="T45" s="112">
        <f t="shared" si="14"/>
        <v>1.1252761299019793</v>
      </c>
    </row>
    <row r="46" spans="2:22" x14ac:dyDescent="0.2">
      <c r="B46" s="34">
        <v>0.05</v>
      </c>
      <c r="C46" s="81">
        <f t="shared" si="3"/>
        <v>13.26</v>
      </c>
      <c r="D46" s="67">
        <f t="shared" si="15"/>
        <v>9.75E-3</v>
      </c>
      <c r="E46" s="81">
        <f t="shared" si="4"/>
        <v>26.52</v>
      </c>
      <c r="F46" s="67">
        <f t="shared" si="5"/>
        <v>1.95E-2</v>
      </c>
      <c r="G46" s="81">
        <f t="shared" si="6"/>
        <v>39.78</v>
      </c>
      <c r="H46" s="67">
        <f t="shared" si="0"/>
        <v>2.9250000000000002E-2</v>
      </c>
      <c r="I46" s="81">
        <f t="shared" si="7"/>
        <v>53.04</v>
      </c>
      <c r="J46" s="82">
        <f t="shared" si="1"/>
        <v>3.9E-2</v>
      </c>
      <c r="K46" s="3"/>
      <c r="L46" s="275">
        <v>40</v>
      </c>
      <c r="M46" s="111">
        <f t="shared" si="8"/>
        <v>437.25015333334056</v>
      </c>
      <c r="N46" s="126">
        <f t="shared" si="9"/>
        <v>0.3215074656862798</v>
      </c>
      <c r="O46" s="111">
        <f t="shared" si="2"/>
        <v>874.50030666668113</v>
      </c>
      <c r="P46" s="126">
        <f t="shared" si="10"/>
        <v>0.64301493137255961</v>
      </c>
      <c r="Q46" s="111">
        <f t="shared" si="11"/>
        <v>1311.7504600000216</v>
      </c>
      <c r="R46" s="126">
        <f t="shared" si="12"/>
        <v>0.96452239705883935</v>
      </c>
      <c r="S46" s="123">
        <f t="shared" si="13"/>
        <v>1749.0006133333623</v>
      </c>
      <c r="T46" s="112">
        <f t="shared" si="14"/>
        <v>1.2860298627451192</v>
      </c>
    </row>
    <row r="47" spans="2:22" ht="13.5" thickBot="1" x14ac:dyDescent="0.25">
      <c r="B47" s="80">
        <v>8.5999999999999993E-2</v>
      </c>
      <c r="C47" s="229">
        <f t="shared" si="3"/>
        <v>22.807199999999998</v>
      </c>
      <c r="D47" s="300">
        <f t="shared" si="15"/>
        <v>1.677E-2</v>
      </c>
      <c r="E47" s="229">
        <f t="shared" si="4"/>
        <v>45.614399999999996</v>
      </c>
      <c r="F47" s="63">
        <f t="shared" si="5"/>
        <v>3.354E-2</v>
      </c>
      <c r="G47" s="229">
        <f t="shared" si="6"/>
        <v>68.421599999999998</v>
      </c>
      <c r="H47" s="63">
        <f t="shared" si="0"/>
        <v>5.0310000000000001E-2</v>
      </c>
      <c r="I47" s="229">
        <f t="shared" si="7"/>
        <v>91.228799999999993</v>
      </c>
      <c r="J47" s="64">
        <f t="shared" si="1"/>
        <v>6.7080000000000001E-2</v>
      </c>
      <c r="K47" s="3"/>
      <c r="L47" s="110">
        <v>62.207000000000001</v>
      </c>
      <c r="M47" s="113">
        <f t="shared" si="8"/>
        <v>680.00050721017794</v>
      </c>
      <c r="N47" s="294">
        <f t="shared" si="9"/>
        <v>0.50000037294866029</v>
      </c>
      <c r="O47" s="113">
        <f t="shared" si="2"/>
        <v>1360.0010144203559</v>
      </c>
      <c r="P47" s="294">
        <f>O47/$M$35</f>
        <v>1.0000007458973206</v>
      </c>
      <c r="Q47" s="113">
        <f t="shared" si="11"/>
        <v>2040.0015216305337</v>
      </c>
      <c r="R47" s="294">
        <f t="shared" si="12"/>
        <v>1.5000011188459808</v>
      </c>
      <c r="S47" s="124">
        <f t="shared" si="13"/>
        <v>2720.0020288407118</v>
      </c>
      <c r="T47" s="295">
        <f t="shared" si="14"/>
        <v>2.0000014917946412</v>
      </c>
    </row>
    <row r="48" spans="2:22" ht="22.5" thickTop="1" thickBot="1" x14ac:dyDescent="0.3">
      <c r="B48" s="268" t="s">
        <v>57</v>
      </c>
      <c r="C48" s="248"/>
      <c r="D48" s="249"/>
      <c r="E48" s="251"/>
      <c r="F48" s="249"/>
      <c r="G48" s="251"/>
      <c r="H48" s="249"/>
      <c r="I48" s="251"/>
      <c r="J48" s="250"/>
      <c r="K48" s="3"/>
      <c r="L48" s="19" t="s">
        <v>61</v>
      </c>
      <c r="N48" s="154"/>
      <c r="P48" s="156"/>
      <c r="R48" s="156"/>
      <c r="T48" s="10"/>
    </row>
    <row r="49" spans="2:33" ht="16.5" thickBot="1" x14ac:dyDescent="0.3">
      <c r="B49" s="224" t="s">
        <v>34</v>
      </c>
      <c r="C49" s="121" t="s">
        <v>31</v>
      </c>
      <c r="D49" s="239" t="s">
        <v>28</v>
      </c>
      <c r="E49" s="127" t="s">
        <v>31</v>
      </c>
      <c r="F49" s="216" t="s">
        <v>28</v>
      </c>
      <c r="G49" s="127" t="s">
        <v>31</v>
      </c>
      <c r="H49" s="216" t="s">
        <v>28</v>
      </c>
      <c r="I49" s="127" t="s">
        <v>31</v>
      </c>
      <c r="J49" s="217" t="s">
        <v>28</v>
      </c>
      <c r="K49" s="3"/>
      <c r="L49" s="255" t="s">
        <v>10</v>
      </c>
      <c r="M49" s="254" t="s">
        <v>31</v>
      </c>
      <c r="N49" s="163" t="s">
        <v>28</v>
      </c>
      <c r="O49" s="171" t="s">
        <v>31</v>
      </c>
      <c r="P49" s="163" t="s">
        <v>28</v>
      </c>
      <c r="Q49" s="171" t="s">
        <v>31</v>
      </c>
      <c r="R49" s="163" t="s">
        <v>28</v>
      </c>
      <c r="S49" s="171" t="s">
        <v>31</v>
      </c>
      <c r="T49" s="164" t="s">
        <v>28</v>
      </c>
      <c r="AG49" s="165"/>
    </row>
    <row r="50" spans="2:33" x14ac:dyDescent="0.2">
      <c r="B50" s="200">
        <f t="shared" ref="B50:B58" si="16">B39</f>
        <v>1.4999999999999999E-2</v>
      </c>
      <c r="C50" s="84">
        <f>C39*$G$6*$G$8/$G$7</f>
        <v>61798.706795744685</v>
      </c>
      <c r="D50" s="89">
        <f t="shared" ref="D50:D58" si="17">C50/$C$34</f>
        <v>45.440225585106383</v>
      </c>
      <c r="E50" s="84">
        <f>E39*$G$6*$G$8/$G$7</f>
        <v>123597.41359148937</v>
      </c>
      <c r="F50" s="85">
        <f t="shared" ref="F50:F58" si="18">E50/$C$34</f>
        <v>90.880451170212766</v>
      </c>
      <c r="G50" s="84">
        <f>G39*$G$6*$G$8/$G$7</f>
        <v>185396.12038723406</v>
      </c>
      <c r="H50" s="85">
        <f t="shared" ref="H50:H58" si="19">G50/$C$34</f>
        <v>136.32067675531917</v>
      </c>
      <c r="I50" s="84">
        <f>I39*$G$6*$G$8/$G$7</f>
        <v>247194.82718297874</v>
      </c>
      <c r="J50" s="87">
        <f t="shared" ref="J50:J58" si="20">I50/$C$34</f>
        <v>181.76090234042553</v>
      </c>
      <c r="K50" s="3"/>
      <c r="L50" s="275">
        <f t="shared" ref="L50:L57" si="21">L39</f>
        <v>5</v>
      </c>
      <c r="M50" s="155">
        <f>(((M$36*$L50*$Q$8*$Q$9)/$Q$10)*$Q$6)/$Q$7</f>
        <v>323140.65520612238</v>
      </c>
      <c r="N50" s="167">
        <f>M50/$M$35</f>
        <v>237.60342294567823</v>
      </c>
      <c r="O50" s="155">
        <f>(((O$36*$L50*$Q$8*$Q$9)/$Q$10)*$Q$6)/$Q$7</f>
        <v>646281.31041224475</v>
      </c>
      <c r="P50" s="167">
        <f>O50/$M$35</f>
        <v>475.20684589135647</v>
      </c>
      <c r="Q50" s="155">
        <f>(((Q$36*$L50*$Q$8*$Q$9)/$Q$10)*$Q$6)/$Q$7</f>
        <v>969421.96561836707</v>
      </c>
      <c r="R50" s="167">
        <f>Q50/$M$35</f>
        <v>712.81026883703464</v>
      </c>
      <c r="S50" s="155">
        <f>(((S$36*$L50*$Q$8*$Q$9)/$Q$10)*$Q$6)/$Q$7</f>
        <v>1292562.6208244895</v>
      </c>
      <c r="T50" s="157">
        <f>S50/$M$35</f>
        <v>950.41369178271293</v>
      </c>
    </row>
    <row r="51" spans="2:33" x14ac:dyDescent="0.2">
      <c r="B51" s="200">
        <f t="shared" si="16"/>
        <v>0.02</v>
      </c>
      <c r="C51" s="83">
        <f t="shared" ref="C51:C58" si="22">C40*$G$6*$G$8/$G$7</f>
        <v>82398.275727659595</v>
      </c>
      <c r="D51" s="90">
        <f t="shared" si="17"/>
        <v>60.586967446808522</v>
      </c>
      <c r="E51" s="83">
        <f t="shared" ref="E51:E58" si="23">E40*$G$6*$G$8/$G$7</f>
        <v>164796.55145531919</v>
      </c>
      <c r="F51" s="68">
        <f t="shared" si="18"/>
        <v>121.17393489361704</v>
      </c>
      <c r="G51" s="83">
        <f t="shared" ref="G51:G58" si="24">G40*$G$6*$G$8/$G$7</f>
        <v>247194.82718297877</v>
      </c>
      <c r="H51" s="68">
        <f t="shared" si="19"/>
        <v>181.76090234042556</v>
      </c>
      <c r="I51" s="83">
        <f t="shared" ref="I51:I58" si="25">I40*$G$6*$G$8/$G$7</f>
        <v>329593.10291063838</v>
      </c>
      <c r="J51" s="88">
        <f t="shared" si="20"/>
        <v>242.34786978723409</v>
      </c>
      <c r="K51" s="220"/>
      <c r="L51" s="275">
        <f t="shared" si="21"/>
        <v>10</v>
      </c>
      <c r="M51" s="116">
        <f t="shared" ref="M51:M58" si="26">(((M$36*$L51*$Q$8*$Q$9)/$Q$10)*$Q$6)/$Q$7</f>
        <v>646281.31041224475</v>
      </c>
      <c r="N51" s="166">
        <f t="shared" ref="N51:N58" si="27">M51/$M$35</f>
        <v>475.20684589135647</v>
      </c>
      <c r="O51" s="116">
        <f t="shared" ref="O51:O58" si="28">(((O$36*$L51*$Q$8*$Q$9)/$Q$10)*$Q$6)/$Q$7</f>
        <v>1292562.6208244895</v>
      </c>
      <c r="P51" s="166">
        <f t="shared" ref="P51:P58" si="29">O51/$M$35</f>
        <v>950.41369178271293</v>
      </c>
      <c r="Q51" s="116">
        <f t="shared" ref="Q51:Q58" si="30">(((Q$36*$L51*$Q$8*$Q$9)/$Q$10)*$Q$6)/$Q$7</f>
        <v>1938843.9312367341</v>
      </c>
      <c r="R51" s="166">
        <f t="shared" ref="R51:R58" si="31">Q51/$M$35</f>
        <v>1425.6205376740693</v>
      </c>
      <c r="S51" s="116">
        <f t="shared" ref="S51:S58" si="32">(((S$36*$L51*$Q$8*$Q$9)/$Q$10)*$Q$6)/$Q$7</f>
        <v>2585125.241648979</v>
      </c>
      <c r="T51" s="158">
        <f t="shared" ref="T51:T58" si="33">S51/$M$35</f>
        <v>1900.8273835654259</v>
      </c>
    </row>
    <row r="52" spans="2:33" x14ac:dyDescent="0.2">
      <c r="B52" s="200">
        <f t="shared" si="16"/>
        <v>2.5000000000000001E-2</v>
      </c>
      <c r="C52" s="83">
        <f t="shared" si="22"/>
        <v>102997.84465957449</v>
      </c>
      <c r="D52" s="90">
        <f t="shared" si="17"/>
        <v>75.733709308510655</v>
      </c>
      <c r="E52" s="83">
        <f t="shared" si="23"/>
        <v>205995.68931914898</v>
      </c>
      <c r="F52" s="68">
        <f t="shared" si="18"/>
        <v>151.46741861702131</v>
      </c>
      <c r="G52" s="83">
        <f t="shared" si="24"/>
        <v>308993.53397872351</v>
      </c>
      <c r="H52" s="68">
        <f t="shared" si="19"/>
        <v>227.20112792553201</v>
      </c>
      <c r="I52" s="83">
        <f t="shared" si="25"/>
        <v>411991.37863829796</v>
      </c>
      <c r="J52" s="88">
        <f t="shared" si="20"/>
        <v>302.93483723404262</v>
      </c>
      <c r="K52" s="3"/>
      <c r="L52" s="275">
        <f t="shared" si="21"/>
        <v>15</v>
      </c>
      <c r="M52" s="116">
        <f t="shared" si="26"/>
        <v>969421.96561836707</v>
      </c>
      <c r="N52" s="166">
        <f t="shared" si="27"/>
        <v>712.81026883703464</v>
      </c>
      <c r="O52" s="116">
        <f t="shared" si="28"/>
        <v>1938843.9312367341</v>
      </c>
      <c r="P52" s="166">
        <f t="shared" si="29"/>
        <v>1425.6205376740693</v>
      </c>
      <c r="Q52" s="116">
        <f t="shared" si="30"/>
        <v>2908265.8968551015</v>
      </c>
      <c r="R52" s="166">
        <f t="shared" si="31"/>
        <v>2138.430806511104</v>
      </c>
      <c r="S52" s="116">
        <f t="shared" si="32"/>
        <v>3877687.8624734683</v>
      </c>
      <c r="T52" s="158">
        <f t="shared" si="33"/>
        <v>2851.2410753481386</v>
      </c>
    </row>
    <row r="53" spans="2:33" x14ac:dyDescent="0.2">
      <c r="B53" s="200">
        <f t="shared" si="16"/>
        <v>0.03</v>
      </c>
      <c r="C53" s="83">
        <f t="shared" si="22"/>
        <v>123597.41359148937</v>
      </c>
      <c r="D53" s="90">
        <f t="shared" si="17"/>
        <v>90.880451170212766</v>
      </c>
      <c r="E53" s="83">
        <f t="shared" si="23"/>
        <v>247194.82718297874</v>
      </c>
      <c r="F53" s="68">
        <f t="shared" si="18"/>
        <v>181.76090234042553</v>
      </c>
      <c r="G53" s="83">
        <f t="shared" si="24"/>
        <v>370792.24077446811</v>
      </c>
      <c r="H53" s="68">
        <f t="shared" si="19"/>
        <v>272.64135351063834</v>
      </c>
      <c r="I53" s="83">
        <f t="shared" si="25"/>
        <v>494389.65436595748</v>
      </c>
      <c r="J53" s="88">
        <f t="shared" si="20"/>
        <v>363.52180468085106</v>
      </c>
      <c r="K53" s="3"/>
      <c r="L53" s="275">
        <f>L42</f>
        <v>20</v>
      </c>
      <c r="M53" s="116">
        <f t="shared" si="26"/>
        <v>1292562.6208244895</v>
      </c>
      <c r="N53" s="166">
        <f t="shared" si="27"/>
        <v>950.41369178271293</v>
      </c>
      <c r="O53" s="116">
        <f t="shared" si="28"/>
        <v>2585125.241648979</v>
      </c>
      <c r="P53" s="166">
        <f t="shared" si="29"/>
        <v>1900.8273835654259</v>
      </c>
      <c r="Q53" s="116">
        <f t="shared" si="30"/>
        <v>3877687.8624734683</v>
      </c>
      <c r="R53" s="166">
        <f t="shared" si="31"/>
        <v>2851.2410753481386</v>
      </c>
      <c r="S53" s="116">
        <f t="shared" si="32"/>
        <v>5170250.483297958</v>
      </c>
      <c r="T53" s="158">
        <f t="shared" si="33"/>
        <v>3801.6547671308517</v>
      </c>
    </row>
    <row r="54" spans="2:33" x14ac:dyDescent="0.2">
      <c r="B54" s="200">
        <f t="shared" si="16"/>
        <v>3.5000000000000003E-2</v>
      </c>
      <c r="C54" s="83">
        <f t="shared" si="22"/>
        <v>144196.98252340427</v>
      </c>
      <c r="D54" s="90">
        <f t="shared" si="17"/>
        <v>106.0271930319149</v>
      </c>
      <c r="E54" s="83">
        <f t="shared" si="23"/>
        <v>288393.96504680853</v>
      </c>
      <c r="F54" s="68">
        <f t="shared" si="18"/>
        <v>212.05438606382981</v>
      </c>
      <c r="G54" s="83">
        <f t="shared" si="24"/>
        <v>432590.94757021288</v>
      </c>
      <c r="H54" s="68">
        <f t="shared" si="19"/>
        <v>318.08157909574476</v>
      </c>
      <c r="I54" s="83">
        <f t="shared" si="25"/>
        <v>576787.93009361706</v>
      </c>
      <c r="J54" s="88">
        <f t="shared" si="20"/>
        <v>424.10877212765962</v>
      </c>
      <c r="K54" s="3"/>
      <c r="L54" s="275">
        <f t="shared" si="21"/>
        <v>25</v>
      </c>
      <c r="M54" s="116">
        <f t="shared" si="26"/>
        <v>1615703.2760306117</v>
      </c>
      <c r="N54" s="166">
        <f t="shared" si="27"/>
        <v>1188.0171147283909</v>
      </c>
      <c r="O54" s="116">
        <f t="shared" si="28"/>
        <v>3231406.5520612234</v>
      </c>
      <c r="P54" s="166">
        <f t="shared" si="29"/>
        <v>2376.0342294567818</v>
      </c>
      <c r="Q54" s="116">
        <f t="shared" si="30"/>
        <v>4847109.8280918356</v>
      </c>
      <c r="R54" s="166">
        <f t="shared" si="31"/>
        <v>3564.0513441851731</v>
      </c>
      <c r="S54" s="116">
        <f t="shared" si="32"/>
        <v>6462813.1041224468</v>
      </c>
      <c r="T54" s="158">
        <f t="shared" si="33"/>
        <v>4752.0684589135635</v>
      </c>
    </row>
    <row r="55" spans="2:33" x14ac:dyDescent="0.2">
      <c r="B55" s="200">
        <f t="shared" si="16"/>
        <v>0.04</v>
      </c>
      <c r="C55" s="83">
        <f t="shared" si="22"/>
        <v>164796.55145531919</v>
      </c>
      <c r="D55" s="90">
        <f t="shared" si="17"/>
        <v>121.17393489361704</v>
      </c>
      <c r="E55" s="83">
        <f t="shared" si="23"/>
        <v>329593.10291063838</v>
      </c>
      <c r="F55" s="68">
        <f t="shared" si="18"/>
        <v>242.34786978723409</v>
      </c>
      <c r="G55" s="83">
        <f t="shared" si="24"/>
        <v>494389.65436595754</v>
      </c>
      <c r="H55" s="68">
        <f t="shared" si="19"/>
        <v>363.52180468085112</v>
      </c>
      <c r="I55" s="83">
        <f t="shared" si="25"/>
        <v>659186.20582127676</v>
      </c>
      <c r="J55" s="88">
        <f t="shared" si="20"/>
        <v>484.69573957446818</v>
      </c>
      <c r="K55" s="3"/>
      <c r="L55" s="275">
        <f t="shared" si="21"/>
        <v>30</v>
      </c>
      <c r="M55" s="116">
        <f t="shared" si="26"/>
        <v>1938843.9312367341</v>
      </c>
      <c r="N55" s="166">
        <f t="shared" si="27"/>
        <v>1425.6205376740693</v>
      </c>
      <c r="O55" s="116">
        <f t="shared" si="28"/>
        <v>3877687.8624734683</v>
      </c>
      <c r="P55" s="166">
        <f t="shared" si="29"/>
        <v>2851.2410753481386</v>
      </c>
      <c r="Q55" s="116">
        <f t="shared" si="30"/>
        <v>5816531.7937102029</v>
      </c>
      <c r="R55" s="166">
        <f t="shared" si="31"/>
        <v>4276.8616130222081</v>
      </c>
      <c r="S55" s="116">
        <f t="shared" si="32"/>
        <v>7755375.7249469366</v>
      </c>
      <c r="T55" s="158">
        <f t="shared" si="33"/>
        <v>5702.4821506962771</v>
      </c>
    </row>
    <row r="56" spans="2:33" x14ac:dyDescent="0.2">
      <c r="B56" s="200">
        <f t="shared" si="16"/>
        <v>4.4999999999999998E-2</v>
      </c>
      <c r="C56" s="83">
        <f t="shared" si="22"/>
        <v>185396.12038723406</v>
      </c>
      <c r="D56" s="90">
        <f t="shared" si="17"/>
        <v>136.32067675531917</v>
      </c>
      <c r="E56" s="83">
        <f t="shared" si="23"/>
        <v>370792.24077446811</v>
      </c>
      <c r="F56" s="68">
        <f t="shared" si="18"/>
        <v>272.64135351063834</v>
      </c>
      <c r="G56" s="83">
        <f t="shared" si="24"/>
        <v>556188.3611617022</v>
      </c>
      <c r="H56" s="68">
        <f t="shared" si="19"/>
        <v>408.96203026595748</v>
      </c>
      <c r="I56" s="83">
        <f t="shared" si="25"/>
        <v>741584.48154893622</v>
      </c>
      <c r="J56" s="88">
        <f t="shared" si="20"/>
        <v>545.28270702127668</v>
      </c>
      <c r="K56" s="3"/>
      <c r="L56" s="275">
        <f t="shared" si="21"/>
        <v>35</v>
      </c>
      <c r="M56" s="116">
        <f t="shared" si="26"/>
        <v>2261984.5864428566</v>
      </c>
      <c r="N56" s="166">
        <f t="shared" si="27"/>
        <v>1663.2239606197475</v>
      </c>
      <c r="O56" s="116">
        <f t="shared" si="28"/>
        <v>4523969.1728857132</v>
      </c>
      <c r="P56" s="166">
        <f t="shared" si="29"/>
        <v>3326.4479212394949</v>
      </c>
      <c r="Q56" s="116">
        <f t="shared" si="30"/>
        <v>6785953.7593285693</v>
      </c>
      <c r="R56" s="166">
        <f t="shared" si="31"/>
        <v>4989.6718818592417</v>
      </c>
      <c r="S56" s="116">
        <f t="shared" si="32"/>
        <v>9047938.3457714263</v>
      </c>
      <c r="T56" s="158">
        <f t="shared" si="33"/>
        <v>6652.8958424789898</v>
      </c>
    </row>
    <row r="57" spans="2:33" x14ac:dyDescent="0.2">
      <c r="B57" s="201">
        <f t="shared" si="16"/>
        <v>0.05</v>
      </c>
      <c r="C57" s="83">
        <f t="shared" si="22"/>
        <v>205995.68931914898</v>
      </c>
      <c r="D57" s="90">
        <f t="shared" si="17"/>
        <v>151.46741861702131</v>
      </c>
      <c r="E57" s="83">
        <f t="shared" si="23"/>
        <v>411991.37863829796</v>
      </c>
      <c r="F57" s="68">
        <f t="shared" si="18"/>
        <v>302.93483723404262</v>
      </c>
      <c r="G57" s="83">
        <f t="shared" si="24"/>
        <v>617987.06795744703</v>
      </c>
      <c r="H57" s="68">
        <f t="shared" si="19"/>
        <v>454.40225585106401</v>
      </c>
      <c r="I57" s="83">
        <f t="shared" si="25"/>
        <v>823982.75727659592</v>
      </c>
      <c r="J57" s="88">
        <f t="shared" si="20"/>
        <v>605.86967446808524</v>
      </c>
      <c r="K57" s="3"/>
      <c r="L57" s="275">
        <f t="shared" si="21"/>
        <v>40</v>
      </c>
      <c r="M57" s="116">
        <f t="shared" si="26"/>
        <v>2585125.241648979</v>
      </c>
      <c r="N57" s="166">
        <f t="shared" si="27"/>
        <v>1900.8273835654259</v>
      </c>
      <c r="O57" s="116">
        <f t="shared" si="28"/>
        <v>5170250.483297958</v>
      </c>
      <c r="P57" s="166">
        <f t="shared" si="29"/>
        <v>3801.6547671308517</v>
      </c>
      <c r="Q57" s="116">
        <f t="shared" si="30"/>
        <v>7755375.7249469366</v>
      </c>
      <c r="R57" s="166">
        <f t="shared" si="31"/>
        <v>5702.4821506962771</v>
      </c>
      <c r="S57" s="116">
        <f t="shared" si="32"/>
        <v>10340500.966595916</v>
      </c>
      <c r="T57" s="158">
        <f t="shared" si="33"/>
        <v>7603.3095342617034</v>
      </c>
    </row>
    <row r="58" spans="2:33" ht="16.5" thickBot="1" x14ac:dyDescent="0.3">
      <c r="B58" s="230">
        <f t="shared" si="16"/>
        <v>8.5999999999999993E-2</v>
      </c>
      <c r="C58" s="273">
        <f t="shared" si="22"/>
        <v>354312.58562893618</v>
      </c>
      <c r="D58" s="271">
        <f t="shared" si="17"/>
        <v>260.52396002127659</v>
      </c>
      <c r="E58" s="273">
        <f t="shared" si="23"/>
        <v>708625.17125787237</v>
      </c>
      <c r="F58" s="272">
        <f t="shared" si="18"/>
        <v>521.04792004255319</v>
      </c>
      <c r="G58" s="273">
        <f t="shared" si="24"/>
        <v>1062937.7568868087</v>
      </c>
      <c r="H58" s="272">
        <f t="shared" si="19"/>
        <v>781.57188006382989</v>
      </c>
      <c r="I58" s="273">
        <f t="shared" si="25"/>
        <v>1417250.3425157447</v>
      </c>
      <c r="J58" s="231">
        <f t="shared" si="20"/>
        <v>1042.0958400851064</v>
      </c>
      <c r="K58" s="3"/>
      <c r="L58" s="110">
        <v>62.207000000000001</v>
      </c>
      <c r="M58" s="168">
        <f t="shared" si="26"/>
        <v>4020322.1476814509</v>
      </c>
      <c r="N58" s="169">
        <f t="shared" si="27"/>
        <v>2956.1192262363611</v>
      </c>
      <c r="O58" s="168">
        <f t="shared" si="28"/>
        <v>8040644.2953629019</v>
      </c>
      <c r="P58" s="169">
        <f t="shared" si="29"/>
        <v>5912.2384524727222</v>
      </c>
      <c r="Q58" s="168">
        <f t="shared" si="30"/>
        <v>12060966.443044351</v>
      </c>
      <c r="R58" s="169">
        <f t="shared" si="31"/>
        <v>8868.3576787090824</v>
      </c>
      <c r="S58" s="168">
        <f t="shared" si="32"/>
        <v>16081288.590725804</v>
      </c>
      <c r="T58" s="170">
        <f t="shared" si="33"/>
        <v>11824.476904945444</v>
      </c>
    </row>
    <row r="59" spans="2:33" ht="21.75" thickTop="1" thickBot="1" x14ac:dyDescent="0.35">
      <c r="B59" s="259" t="s">
        <v>56</v>
      </c>
      <c r="C59" s="221"/>
      <c r="D59" s="222"/>
      <c r="E59" s="221"/>
      <c r="F59" s="252"/>
      <c r="G59" s="269"/>
      <c r="H59" s="269"/>
      <c r="I59" s="269"/>
      <c r="J59" s="270"/>
      <c r="K59" s="3"/>
      <c r="L59" s="117" t="s">
        <v>62</v>
      </c>
      <c r="M59" s="24"/>
      <c r="N59" s="24"/>
      <c r="O59" s="2"/>
      <c r="P59" s="2"/>
      <c r="Q59" s="24"/>
      <c r="R59" s="24"/>
      <c r="S59" s="24"/>
      <c r="T59" s="25"/>
    </row>
    <row r="60" spans="2:33" ht="16.5" thickBot="1" x14ac:dyDescent="0.3">
      <c r="B60" s="224" t="s">
        <v>35</v>
      </c>
      <c r="C60" s="253" t="s">
        <v>31</v>
      </c>
      <c r="D60" s="216" t="s">
        <v>28</v>
      </c>
      <c r="E60" s="127" t="s">
        <v>31</v>
      </c>
      <c r="F60" s="216" t="s">
        <v>28</v>
      </c>
      <c r="G60" s="127" t="s">
        <v>31</v>
      </c>
      <c r="H60" s="216" t="s">
        <v>28</v>
      </c>
      <c r="I60" s="127" t="s">
        <v>31</v>
      </c>
      <c r="J60" s="217" t="s">
        <v>28</v>
      </c>
      <c r="K60" s="3"/>
      <c r="L60" s="278" t="s">
        <v>10</v>
      </c>
      <c r="M60" s="254" t="s">
        <v>31</v>
      </c>
      <c r="N60" s="161" t="s">
        <v>28</v>
      </c>
      <c r="O60" s="171" t="s">
        <v>31</v>
      </c>
      <c r="P60" s="161" t="s">
        <v>28</v>
      </c>
      <c r="Q60" s="171" t="s">
        <v>31</v>
      </c>
      <c r="R60" s="161" t="s">
        <v>28</v>
      </c>
      <c r="S60" s="171" t="s">
        <v>31</v>
      </c>
      <c r="T60" s="162" t="s">
        <v>28</v>
      </c>
    </row>
    <row r="61" spans="2:33" x14ac:dyDescent="0.2">
      <c r="B61" s="34">
        <f t="shared" ref="B61:B69" si="34">B39</f>
        <v>1.4999999999999999E-2</v>
      </c>
      <c r="C61" s="290">
        <f>C50-(C$35*$G$20)</f>
        <v>-19964.493204255312</v>
      </c>
      <c r="D61" s="291">
        <f t="shared" ref="D61:D69" si="35">C61/$C$34</f>
        <v>-14.679774414893611</v>
      </c>
      <c r="E61" s="290">
        <f>E50-(E$35*$G$20)</f>
        <v>-39928.986408510624</v>
      </c>
      <c r="F61" s="291">
        <f t="shared" ref="F61:F69" si="36">E61/$C$34</f>
        <v>-29.359548829787222</v>
      </c>
      <c r="G61" s="290">
        <f>G50-(G$35*$G$20)</f>
        <v>-59893.47961276595</v>
      </c>
      <c r="H61" s="291">
        <f t="shared" ref="H61:H69" si="37">G61/$C$34</f>
        <v>-44.039323244680844</v>
      </c>
      <c r="I61" s="66">
        <f>I50-(I$35*$G$18)</f>
        <v>13002.827182978741</v>
      </c>
      <c r="J61" s="65">
        <f t="shared" ref="J61:J69" si="38">I61/$C$34</f>
        <v>9.5609023404255442</v>
      </c>
      <c r="K61" s="3"/>
      <c r="L61" s="276">
        <f t="shared" ref="L61:L69" si="39">L39</f>
        <v>5</v>
      </c>
      <c r="M61" s="279">
        <f>M50-(M$36*$R$18)-(M$39*$Q$19+M$39*$Q$20)</f>
        <v>264306.85087772651</v>
      </c>
      <c r="N61" s="280">
        <f>M61/$M$35</f>
        <v>194.34327270421068</v>
      </c>
      <c r="O61" s="279">
        <f>O50-(O$36*$R$18)-(O$39*$Q$19+O$39*$Q$20)</f>
        <v>528613.70175545302</v>
      </c>
      <c r="P61" s="280">
        <f>O61/$M$35</f>
        <v>388.68654540842135</v>
      </c>
      <c r="Q61" s="279">
        <f>Q50-(Q$36*$R$18)-(Q$39*$Q$19+Q$39*$Q$20)</f>
        <v>792920.55263317947</v>
      </c>
      <c r="R61" s="280">
        <f>Q61/$M$35</f>
        <v>583.02981811263192</v>
      </c>
      <c r="S61" s="279">
        <f>S50-(S$36*$R$18)-(S$39*$Q$19+S$39*$Q$20)</f>
        <v>1057227.403510906</v>
      </c>
      <c r="T61" s="282">
        <f>S61/$M$35</f>
        <v>777.3730908168427</v>
      </c>
    </row>
    <row r="62" spans="2:33" x14ac:dyDescent="0.2">
      <c r="B62" s="34">
        <f t="shared" si="34"/>
        <v>0.02</v>
      </c>
      <c r="C62" s="301">
        <f>C51-($C$35*$G$20)</f>
        <v>635.07572765959776</v>
      </c>
      <c r="D62" s="97">
        <f t="shared" si="35"/>
        <v>0.46696744680852775</v>
      </c>
      <c r="E62" s="66">
        <f t="shared" ref="E62:E69" si="40">E51-($C$35*$G$20)</f>
        <v>83033.351455319193</v>
      </c>
      <c r="F62" s="97">
        <f t="shared" si="36"/>
        <v>61.053934893617054</v>
      </c>
      <c r="G62" s="66">
        <f t="shared" ref="G62:G69" si="41">G51-($C$35*$G$20)</f>
        <v>165431.62718297879</v>
      </c>
      <c r="H62" s="97">
        <f t="shared" si="37"/>
        <v>121.64090234042558</v>
      </c>
      <c r="I62" s="66">
        <f t="shared" ref="I62:I68" si="42">I51-(I$35*$G$18)</f>
        <v>95401.102910638379</v>
      </c>
      <c r="J62" s="65">
        <f t="shared" si="38"/>
        <v>70.1478697872341</v>
      </c>
      <c r="K62" s="3"/>
      <c r="L62" s="276">
        <f t="shared" si="39"/>
        <v>10</v>
      </c>
      <c r="M62" s="284">
        <f t="shared" ref="M62:M69" si="43">M51-(M$36*$R$18)-(M$39*$Q$19+M$39*$Q$20)</f>
        <v>587447.50608384889</v>
      </c>
      <c r="N62" s="281">
        <f>M62/$M$35</f>
        <v>431.94669564988891</v>
      </c>
      <c r="O62" s="284">
        <f t="shared" ref="O62:O69" si="44">O51-(O$36*$R$18)-(O$39*$Q$19+O$39*$Q$20)</f>
        <v>1174895.0121676978</v>
      </c>
      <c r="P62" s="281">
        <f t="shared" ref="P62:P69" si="45">O62/$M$35</f>
        <v>863.89339129977782</v>
      </c>
      <c r="Q62" s="284">
        <f t="shared" ref="Q62:Q69" si="46">Q51-(Q$36*$R$18)-(Q$39*$Q$19+Q$39*$Q$20)</f>
        <v>1762342.5182515467</v>
      </c>
      <c r="R62" s="281">
        <f t="shared" ref="R62:R69" si="47">Q62/$M$35</f>
        <v>1295.8400869496666</v>
      </c>
      <c r="S62" s="284">
        <f t="shared" ref="S62:S68" si="48">S51-(S$36*$R$18)-(S$39*$Q$19+S$39*$Q$20)</f>
        <v>2349790.0243353955</v>
      </c>
      <c r="T62" s="283">
        <f t="shared" ref="T62:T69" si="49">S62/$M$35</f>
        <v>1727.7867825995556</v>
      </c>
    </row>
    <row r="63" spans="2:33" x14ac:dyDescent="0.2">
      <c r="B63" s="34">
        <f t="shared" si="34"/>
        <v>2.5000000000000001E-2</v>
      </c>
      <c r="C63" s="66">
        <f t="shared" ref="C63:C69" si="50">C52-($C$35*$G$20)</f>
        <v>21234.644659574493</v>
      </c>
      <c r="D63" s="97">
        <f t="shared" si="35"/>
        <v>15.613709308510657</v>
      </c>
      <c r="E63" s="66">
        <f t="shared" si="40"/>
        <v>124232.48931914898</v>
      </c>
      <c r="F63" s="97">
        <f t="shared" si="36"/>
        <v>91.347418617021304</v>
      </c>
      <c r="G63" s="66">
        <f t="shared" si="41"/>
        <v>227230.3339787235</v>
      </c>
      <c r="H63" s="97">
        <f t="shared" si="37"/>
        <v>167.08112792553197</v>
      </c>
      <c r="I63" s="66">
        <f t="shared" si="42"/>
        <v>177799.37863829796</v>
      </c>
      <c r="J63" s="65">
        <f t="shared" si="38"/>
        <v>130.73483723404263</v>
      </c>
      <c r="K63" s="3"/>
      <c r="L63" s="276">
        <f t="shared" si="39"/>
        <v>15</v>
      </c>
      <c r="M63" s="284">
        <f t="shared" si="43"/>
        <v>910588.16128997121</v>
      </c>
      <c r="N63" s="281">
        <f t="shared" ref="N63:N69" si="51">M63/$M$35</f>
        <v>669.55011859556703</v>
      </c>
      <c r="O63" s="284">
        <f t="shared" si="44"/>
        <v>1821176.3225799424</v>
      </c>
      <c r="P63" s="281">
        <f t="shared" si="45"/>
        <v>1339.1002371911341</v>
      </c>
      <c r="Q63" s="284">
        <f t="shared" si="46"/>
        <v>2731764.483869914</v>
      </c>
      <c r="R63" s="281">
        <f t="shared" si="47"/>
        <v>2008.6503557867015</v>
      </c>
      <c r="S63" s="284">
        <f t="shared" si="48"/>
        <v>3642352.6451598848</v>
      </c>
      <c r="T63" s="283">
        <f t="shared" si="49"/>
        <v>2678.2004743822681</v>
      </c>
    </row>
    <row r="64" spans="2:33" x14ac:dyDescent="0.2">
      <c r="B64" s="34">
        <f t="shared" si="34"/>
        <v>0.03</v>
      </c>
      <c r="C64" s="66">
        <f t="shared" si="50"/>
        <v>41834.213591489373</v>
      </c>
      <c r="D64" s="97">
        <f t="shared" si="35"/>
        <v>30.760451170212775</v>
      </c>
      <c r="E64" s="66">
        <f t="shared" si="40"/>
        <v>165431.62718297873</v>
      </c>
      <c r="F64" s="97">
        <f t="shared" si="36"/>
        <v>121.64090234042554</v>
      </c>
      <c r="G64" s="66">
        <f t="shared" si="41"/>
        <v>289029.0407744681</v>
      </c>
      <c r="H64" s="97">
        <f t="shared" si="37"/>
        <v>212.52135351063831</v>
      </c>
      <c r="I64" s="66">
        <f t="shared" si="42"/>
        <v>260197.65436595748</v>
      </c>
      <c r="J64" s="65">
        <f t="shared" si="38"/>
        <v>191.3218046808511</v>
      </c>
      <c r="K64" s="3"/>
      <c r="L64" s="276">
        <f>L42</f>
        <v>20</v>
      </c>
      <c r="M64" s="284">
        <f t="shared" si="43"/>
        <v>1233728.8164960938</v>
      </c>
      <c r="N64" s="281">
        <f t="shared" si="51"/>
        <v>907.15354154124543</v>
      </c>
      <c r="O64" s="284">
        <f t="shared" si="44"/>
        <v>2467457.6329921875</v>
      </c>
      <c r="P64" s="281">
        <f t="shared" si="45"/>
        <v>1814.3070830824909</v>
      </c>
      <c r="Q64" s="284">
        <f t="shared" si="46"/>
        <v>3701186.4494882808</v>
      </c>
      <c r="R64" s="281">
        <f t="shared" si="47"/>
        <v>2721.4606246237358</v>
      </c>
      <c r="S64" s="284">
        <f t="shared" si="48"/>
        <v>4934915.265984375</v>
      </c>
      <c r="T64" s="283">
        <f t="shared" si="49"/>
        <v>3628.6141661649817</v>
      </c>
    </row>
    <row r="65" spans="2:22" x14ac:dyDescent="0.2">
      <c r="B65" s="34">
        <f t="shared" si="34"/>
        <v>3.5000000000000003E-2</v>
      </c>
      <c r="C65" s="66">
        <f t="shared" si="50"/>
        <v>62433.782523404268</v>
      </c>
      <c r="D65" s="97">
        <f t="shared" si="35"/>
        <v>45.9071930319149</v>
      </c>
      <c r="E65" s="66">
        <f t="shared" si="40"/>
        <v>206630.76504680852</v>
      </c>
      <c r="F65" s="97">
        <f t="shared" si="36"/>
        <v>151.93438606382981</v>
      </c>
      <c r="G65" s="66">
        <f t="shared" si="41"/>
        <v>350827.74757021287</v>
      </c>
      <c r="H65" s="97">
        <f t="shared" si="37"/>
        <v>257.96157909574475</v>
      </c>
      <c r="I65" s="66">
        <f t="shared" si="42"/>
        <v>342595.93009361706</v>
      </c>
      <c r="J65" s="65">
        <f t="shared" si="38"/>
        <v>251.9087721276596</v>
      </c>
      <c r="K65" s="3"/>
      <c r="L65" s="276">
        <f t="shared" si="39"/>
        <v>25</v>
      </c>
      <c r="M65" s="284">
        <f t="shared" si="43"/>
        <v>1556869.471702216</v>
      </c>
      <c r="N65" s="281">
        <f t="shared" si="51"/>
        <v>1144.7569644869236</v>
      </c>
      <c r="O65" s="284">
        <f t="shared" si="44"/>
        <v>3113738.9434044319</v>
      </c>
      <c r="P65" s="281">
        <f t="shared" si="45"/>
        <v>2289.5139289738472</v>
      </c>
      <c r="Q65" s="284">
        <f t="shared" si="46"/>
        <v>4670608.4151066476</v>
      </c>
      <c r="R65" s="281">
        <f t="shared" si="47"/>
        <v>3434.2708934607704</v>
      </c>
      <c r="S65" s="284">
        <f t="shared" si="48"/>
        <v>6227477.8868088638</v>
      </c>
      <c r="T65" s="283">
        <f t="shared" si="49"/>
        <v>4579.0278579476944</v>
      </c>
      <c r="V65" s="49"/>
    </row>
    <row r="66" spans="2:22" x14ac:dyDescent="0.2">
      <c r="B66" s="34">
        <f t="shared" si="34"/>
        <v>0.04</v>
      </c>
      <c r="C66" s="66">
        <f t="shared" si="50"/>
        <v>83033.351455319193</v>
      </c>
      <c r="D66" s="97">
        <f t="shared" si="35"/>
        <v>61.053934893617054</v>
      </c>
      <c r="E66" s="66">
        <f t="shared" si="40"/>
        <v>247829.90291063837</v>
      </c>
      <c r="F66" s="97">
        <f t="shared" si="36"/>
        <v>182.22786978723408</v>
      </c>
      <c r="G66" s="66">
        <f t="shared" si="41"/>
        <v>412626.45436595753</v>
      </c>
      <c r="H66" s="97">
        <f t="shared" si="37"/>
        <v>303.40180468085111</v>
      </c>
      <c r="I66" s="66">
        <f t="shared" si="42"/>
        <v>424994.20582127676</v>
      </c>
      <c r="J66" s="65">
        <f t="shared" si="38"/>
        <v>312.49573957446819</v>
      </c>
      <c r="K66" s="3"/>
      <c r="L66" s="276">
        <f t="shared" si="39"/>
        <v>30</v>
      </c>
      <c r="M66" s="284">
        <f t="shared" si="43"/>
        <v>1880010.1269083384</v>
      </c>
      <c r="N66" s="281">
        <f t="shared" si="51"/>
        <v>1382.3603874326018</v>
      </c>
      <c r="O66" s="284">
        <f t="shared" si="44"/>
        <v>3760020.2538166768</v>
      </c>
      <c r="P66" s="281">
        <f t="shared" si="45"/>
        <v>2764.7207748652036</v>
      </c>
      <c r="Q66" s="284">
        <f t="shared" si="46"/>
        <v>5640030.380725015</v>
      </c>
      <c r="R66" s="281">
        <f t="shared" si="47"/>
        <v>4147.0811622978053</v>
      </c>
      <c r="S66" s="284">
        <f t="shared" si="48"/>
        <v>7520040.5076333536</v>
      </c>
      <c r="T66" s="283">
        <f t="shared" si="49"/>
        <v>5529.4415497304071</v>
      </c>
    </row>
    <row r="67" spans="2:22" x14ac:dyDescent="0.2">
      <c r="B67" s="34">
        <f t="shared" si="34"/>
        <v>4.4999999999999998E-2</v>
      </c>
      <c r="C67" s="66">
        <f t="shared" si="50"/>
        <v>103632.92038723406</v>
      </c>
      <c r="D67" s="97">
        <f t="shared" si="35"/>
        <v>76.200676755319165</v>
      </c>
      <c r="E67" s="66">
        <f t="shared" si="40"/>
        <v>289029.0407744681</v>
      </c>
      <c r="F67" s="97">
        <f t="shared" si="36"/>
        <v>212.52135351063831</v>
      </c>
      <c r="G67" s="66">
        <f t="shared" si="41"/>
        <v>474425.16116170218</v>
      </c>
      <c r="H67" s="97">
        <f t="shared" si="37"/>
        <v>348.84203026595748</v>
      </c>
      <c r="I67" s="66">
        <f t="shared" si="42"/>
        <v>507392.48154893622</v>
      </c>
      <c r="J67" s="65">
        <f t="shared" si="38"/>
        <v>373.08270702127663</v>
      </c>
      <c r="K67" s="3"/>
      <c r="L67" s="276">
        <f t="shared" si="39"/>
        <v>35</v>
      </c>
      <c r="M67" s="284">
        <f t="shared" si="43"/>
        <v>2203150.7821144606</v>
      </c>
      <c r="N67" s="281">
        <f t="shared" si="51"/>
        <v>1619.96381037828</v>
      </c>
      <c r="O67" s="284">
        <f t="shared" si="44"/>
        <v>4406301.5642289212</v>
      </c>
      <c r="P67" s="281">
        <f t="shared" si="45"/>
        <v>3239.9276207565599</v>
      </c>
      <c r="Q67" s="284">
        <f t="shared" si="46"/>
        <v>6609452.3463433813</v>
      </c>
      <c r="R67" s="281">
        <f t="shared" si="47"/>
        <v>4859.891431134839</v>
      </c>
      <c r="S67" s="284">
        <f t="shared" si="48"/>
        <v>8812603.1284578424</v>
      </c>
      <c r="T67" s="283">
        <f t="shared" si="49"/>
        <v>6479.8552415131198</v>
      </c>
    </row>
    <row r="68" spans="2:22" x14ac:dyDescent="0.2">
      <c r="B68" s="34">
        <f t="shared" si="34"/>
        <v>0.05</v>
      </c>
      <c r="C68" s="66">
        <f t="shared" si="50"/>
        <v>124232.48931914898</v>
      </c>
      <c r="D68" s="97">
        <f t="shared" si="35"/>
        <v>91.347418617021304</v>
      </c>
      <c r="E68" s="66">
        <f t="shared" si="40"/>
        <v>330228.17863829795</v>
      </c>
      <c r="F68" s="97">
        <f t="shared" si="36"/>
        <v>242.81483723404261</v>
      </c>
      <c r="G68" s="66">
        <f t="shared" si="41"/>
        <v>536223.86795744707</v>
      </c>
      <c r="H68" s="97">
        <f t="shared" si="37"/>
        <v>394.28225585106401</v>
      </c>
      <c r="I68" s="66">
        <f t="shared" si="42"/>
        <v>589790.75727659592</v>
      </c>
      <c r="J68" s="65">
        <f t="shared" si="38"/>
        <v>433.66967446808525</v>
      </c>
      <c r="K68" s="3"/>
      <c r="L68" s="276">
        <f t="shared" si="39"/>
        <v>40</v>
      </c>
      <c r="M68" s="285">
        <f t="shared" si="43"/>
        <v>2526291.437320583</v>
      </c>
      <c r="N68" s="286">
        <f t="shared" si="51"/>
        <v>1857.5672333239581</v>
      </c>
      <c r="O68" s="285">
        <f t="shared" si="44"/>
        <v>5052582.8746411661</v>
      </c>
      <c r="P68" s="286">
        <f t="shared" si="45"/>
        <v>3715.1344666479163</v>
      </c>
      <c r="Q68" s="285">
        <f t="shared" si="46"/>
        <v>7578874.3119617486</v>
      </c>
      <c r="R68" s="286">
        <f t="shared" si="47"/>
        <v>5572.7016999718744</v>
      </c>
      <c r="S68" s="285">
        <f t="shared" si="48"/>
        <v>10105165.749282332</v>
      </c>
      <c r="T68" s="287">
        <f t="shared" si="49"/>
        <v>7430.2689332958325</v>
      </c>
    </row>
    <row r="69" spans="2:22" ht="16.5" thickBot="1" x14ac:dyDescent="0.3">
      <c r="B69" s="232">
        <f t="shared" si="34"/>
        <v>8.5999999999999993E-2</v>
      </c>
      <c r="C69" s="233">
        <f t="shared" si="50"/>
        <v>272549.38562893617</v>
      </c>
      <c r="D69" s="234">
        <f t="shared" si="35"/>
        <v>200.40396002127659</v>
      </c>
      <c r="E69" s="233">
        <f t="shared" si="40"/>
        <v>626861.97125787241</v>
      </c>
      <c r="F69" s="234">
        <f t="shared" si="36"/>
        <v>460.92792004255324</v>
      </c>
      <c r="G69" s="233">
        <f t="shared" si="41"/>
        <v>981174.55688680871</v>
      </c>
      <c r="H69" s="234">
        <f t="shared" si="37"/>
        <v>721.45188006382989</v>
      </c>
      <c r="I69" s="274">
        <v>1683052.4847961515</v>
      </c>
      <c r="J69" s="235">
        <f t="shared" si="38"/>
        <v>1237.5385917618762</v>
      </c>
      <c r="K69" s="3"/>
      <c r="L69" s="172">
        <f t="shared" si="39"/>
        <v>62.207000000000001</v>
      </c>
      <c r="M69" s="292">
        <f t="shared" si="43"/>
        <v>3961488.343353055</v>
      </c>
      <c r="N69" s="288">
        <f t="shared" si="51"/>
        <v>2912.8590759948934</v>
      </c>
      <c r="O69" s="292">
        <f t="shared" si="44"/>
        <v>7922976.6867061099</v>
      </c>
      <c r="P69" s="288">
        <f t="shared" si="45"/>
        <v>5825.7181519897867</v>
      </c>
      <c r="Q69" s="292">
        <f t="shared" si="46"/>
        <v>11884465.030059164</v>
      </c>
      <c r="R69" s="288">
        <f t="shared" si="47"/>
        <v>8738.5772279846806</v>
      </c>
      <c r="S69" s="292">
        <f>S58-(S$36*$R$18)-(S$39*$Q$19+S$39*$Q$20)</f>
        <v>15845953.37341222</v>
      </c>
      <c r="T69" s="289">
        <f t="shared" si="49"/>
        <v>11651.436303979573</v>
      </c>
    </row>
    <row r="70" spans="2:22" ht="13.5" thickTop="1" x14ac:dyDescent="0.2">
      <c r="K70" s="3"/>
    </row>
    <row r="71" spans="2:22" ht="18" x14ac:dyDescent="0.25">
      <c r="B71" s="31" t="s">
        <v>39</v>
      </c>
      <c r="E71" s="3"/>
      <c r="F71" s="3"/>
      <c r="K71" s="3"/>
      <c r="L71" s="31" t="s">
        <v>87</v>
      </c>
    </row>
    <row r="72" spans="2:22" x14ac:dyDescent="0.2">
      <c r="K72" s="3"/>
    </row>
    <row r="73" spans="2:22" ht="18" x14ac:dyDescent="0.25">
      <c r="B73" s="42" t="s">
        <v>41</v>
      </c>
      <c r="K73" s="3"/>
      <c r="L73" s="258" t="s">
        <v>71</v>
      </c>
      <c r="M73" s="18"/>
      <c r="N73" s="18"/>
      <c r="O73" s="18"/>
      <c r="P73" s="18"/>
      <c r="Q73" s="18"/>
      <c r="R73" s="18"/>
      <c r="S73" s="18"/>
      <c r="T73" s="18"/>
      <c r="U73" s="18"/>
    </row>
    <row r="74" spans="2:22" ht="15.75" x14ac:dyDescent="0.25">
      <c r="B74" s="258" t="s">
        <v>46</v>
      </c>
      <c r="L74" s="93" t="s">
        <v>81</v>
      </c>
    </row>
    <row r="75" spans="2:22" ht="15.75" x14ac:dyDescent="0.25">
      <c r="B75" s="93" t="s">
        <v>83</v>
      </c>
      <c r="C75" s="32"/>
      <c r="D75" s="32"/>
      <c r="L75" s="258" t="s">
        <v>82</v>
      </c>
      <c r="M75" s="18"/>
      <c r="N75" s="18"/>
      <c r="O75" s="293"/>
      <c r="P75" s="293"/>
      <c r="Q75" s="18"/>
    </row>
    <row r="76" spans="2:22" ht="18" x14ac:dyDescent="0.25">
      <c r="B76" s="298" t="s">
        <v>65</v>
      </c>
      <c r="L76" s="42" t="s">
        <v>40</v>
      </c>
      <c r="S76" s="43"/>
      <c r="T76" s="43"/>
      <c r="U76" s="43"/>
      <c r="V76" s="43"/>
    </row>
    <row r="77" spans="2:22" ht="18.75" x14ac:dyDescent="0.3">
      <c r="B77" s="42" t="s">
        <v>45</v>
      </c>
      <c r="L77" s="42" t="s">
        <v>72</v>
      </c>
      <c r="S77" s="43"/>
      <c r="T77" s="43"/>
      <c r="U77" s="43"/>
      <c r="V77" s="43"/>
    </row>
    <row r="78" spans="2:22" ht="18" x14ac:dyDescent="0.25">
      <c r="B78" s="258" t="s">
        <v>47</v>
      </c>
      <c r="L78" s="42" t="s">
        <v>73</v>
      </c>
      <c r="M78" s="93"/>
      <c r="N78" s="93"/>
      <c r="O78" s="93"/>
      <c r="P78" s="93"/>
      <c r="Q78" s="93"/>
      <c r="R78" s="93"/>
      <c r="S78" s="43"/>
      <c r="T78" s="43"/>
      <c r="U78" s="43"/>
      <c r="V78" s="43"/>
    </row>
    <row r="79" spans="2:22" ht="18.75" x14ac:dyDescent="0.3">
      <c r="B79" s="93" t="s">
        <v>84</v>
      </c>
      <c r="L79" s="296" t="s">
        <v>42</v>
      </c>
      <c r="M79" s="93"/>
      <c r="N79" s="93"/>
      <c r="O79" s="93"/>
      <c r="P79" s="93"/>
      <c r="Q79" s="93"/>
      <c r="R79" s="93"/>
      <c r="S79" s="43"/>
      <c r="T79" s="43"/>
      <c r="U79" s="43"/>
      <c r="V79" s="43"/>
    </row>
    <row r="80" spans="2:22" x14ac:dyDescent="0.2">
      <c r="F80" s="39"/>
      <c r="S80" s="43"/>
      <c r="T80" s="43"/>
      <c r="U80" s="43"/>
      <c r="V80" s="43"/>
    </row>
    <row r="81" spans="2:22" ht="21" x14ac:dyDescent="0.25">
      <c r="B81" s="225" t="s">
        <v>38</v>
      </c>
      <c r="L81" s="42" t="s">
        <v>74</v>
      </c>
      <c r="M81" s="43"/>
      <c r="N81" s="43"/>
      <c r="O81" s="43"/>
      <c r="P81" s="43"/>
      <c r="Q81" s="43"/>
      <c r="R81" s="43"/>
      <c r="S81" s="43"/>
      <c r="T81" s="43"/>
      <c r="U81" s="43"/>
      <c r="V81" s="43"/>
    </row>
    <row r="82" spans="2:22" ht="21.75" x14ac:dyDescent="0.3">
      <c r="B82" s="31" t="s">
        <v>77</v>
      </c>
      <c r="L82" s="42" t="s">
        <v>21</v>
      </c>
      <c r="M82" s="43"/>
      <c r="N82" s="43"/>
      <c r="O82" s="43"/>
      <c r="P82" s="43"/>
      <c r="Q82" s="43"/>
      <c r="R82" s="43"/>
      <c r="S82" s="43"/>
      <c r="T82" s="43"/>
      <c r="U82" s="43"/>
      <c r="V82" s="43"/>
    </row>
    <row r="83" spans="2:22" x14ac:dyDescent="0.2">
      <c r="S83" s="43"/>
      <c r="T83" s="43"/>
      <c r="U83" s="43"/>
      <c r="V83" s="43"/>
    </row>
    <row r="84" spans="2:22" ht="21" x14ac:dyDescent="0.25">
      <c r="B84" s="223" t="s">
        <v>78</v>
      </c>
      <c r="L84" s="42" t="s">
        <v>64</v>
      </c>
      <c r="M84" s="43"/>
      <c r="N84" s="43"/>
      <c r="O84" s="43"/>
      <c r="P84" s="43"/>
      <c r="Q84" s="43"/>
      <c r="R84" s="43"/>
    </row>
    <row r="85" spans="2:22" ht="18" x14ac:dyDescent="0.25">
      <c r="L85" s="42" t="s">
        <v>43</v>
      </c>
      <c r="M85" s="43"/>
      <c r="N85" s="43"/>
      <c r="O85" s="43"/>
      <c r="P85" s="43"/>
      <c r="Q85" s="43"/>
      <c r="R85" s="43"/>
    </row>
    <row r="86" spans="2:22" ht="18" x14ac:dyDescent="0.25">
      <c r="B86" s="299" t="s">
        <v>20</v>
      </c>
      <c r="C86" s="237"/>
      <c r="L86" s="258" t="s">
        <v>63</v>
      </c>
      <c r="M86" s="43"/>
      <c r="N86" s="43"/>
      <c r="O86" s="43"/>
      <c r="P86" s="43"/>
      <c r="Q86" s="43"/>
    </row>
    <row r="87" spans="2:22" ht="15.75" x14ac:dyDescent="0.25">
      <c r="D87" s="238"/>
      <c r="E87" s="238"/>
      <c r="L87" s="258" t="s">
        <v>80</v>
      </c>
      <c r="M87" s="43"/>
      <c r="N87" s="43"/>
      <c r="O87" s="43"/>
      <c r="P87" s="43"/>
      <c r="Q87" s="43"/>
      <c r="R87" s="43"/>
    </row>
  </sheetData>
  <phoneticPr fontId="27" type="noConversion"/>
  <pageMargins left="0.70866141732283472" right="0.70866141732283472" top="0.74803149606299213" bottom="0.74803149606299213" header="0.31496062992125984" footer="0.31496062992125984"/>
  <pageSetup paperSize="9" scale="33" orientation="landscape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13 08 26 Ni&amp;Au Price Main 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krzysztof</dc:creator>
  <cp:lastModifiedBy>Krzysztof Biegaj</cp:lastModifiedBy>
  <cp:lastPrinted>2021-02-24T04:28:12Z</cp:lastPrinted>
  <dcterms:created xsi:type="dcterms:W3CDTF">2007-01-10T21:04:22Z</dcterms:created>
  <dcterms:modified xsi:type="dcterms:W3CDTF">2026-10-16T13:48:10Z</dcterms:modified>
</cp:coreProperties>
</file>